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wcnzl-my.sharepoint.com/personal/ben_a_coulter_pwc_com/Documents/Documents/Personal/Swim progression/"/>
    </mc:Choice>
  </mc:AlternateContent>
  <xr:revisionPtr revIDLastSave="75" documentId="13_ncr:20001_{BB253446-22AF-4325-96B9-1375D9078AFA}" xr6:coauthVersionLast="47" xr6:coauthVersionMax="47" xr10:uidLastSave="{A4E17BBC-A7E2-4FCE-9B72-D8956362F5D0}"/>
  <bookViews>
    <workbookView xWindow="13032" yWindow="-16308" windowWidth="29016" windowHeight="15696" activeTab="1" xr2:uid="{00000000-000D-0000-FFFF-FFFF00000000}"/>
  </bookViews>
  <sheets>
    <sheet name="Instructions" sheetId="1" r:id="rId1"/>
    <sheet name="NZR_Margins" sheetId="2" r:id="rId2"/>
    <sheet name="NZSC_2026_Updates" sheetId="3" r:id="rId3"/>
  </sheets>
  <definedNames>
    <definedName name="_xlnm._FilterDatabase" localSheetId="1" hidden="1">NZR_Margins!$A$1:$T$421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1" i="2" l="1"/>
  <c r="S421" i="2"/>
  <c r="T420" i="2"/>
  <c r="S420" i="2"/>
  <c r="T419" i="2"/>
  <c r="S419" i="2"/>
  <c r="T418" i="2"/>
  <c r="S418" i="2"/>
  <c r="T417" i="2"/>
  <c r="S417" i="2"/>
  <c r="T416" i="2"/>
  <c r="S416" i="2"/>
  <c r="T415" i="2"/>
  <c r="S415" i="2"/>
  <c r="T414" i="2"/>
  <c r="S414" i="2"/>
  <c r="T413" i="2"/>
  <c r="S413" i="2"/>
  <c r="T412" i="2"/>
  <c r="S412" i="2"/>
  <c r="T411" i="2"/>
  <c r="S411" i="2"/>
  <c r="T410" i="2"/>
  <c r="S410" i="2"/>
  <c r="T409" i="2"/>
  <c r="S409" i="2"/>
  <c r="T408" i="2"/>
  <c r="S408" i="2"/>
  <c r="T407" i="2"/>
  <c r="S407" i="2"/>
  <c r="T406" i="2"/>
  <c r="S406" i="2"/>
  <c r="T405" i="2"/>
  <c r="S405" i="2"/>
  <c r="T404" i="2"/>
  <c r="S404" i="2"/>
  <c r="T403" i="2"/>
  <c r="S403" i="2"/>
  <c r="T402" i="2"/>
  <c r="S402" i="2"/>
  <c r="T401" i="2"/>
  <c r="S401" i="2"/>
  <c r="T400" i="2"/>
  <c r="S400" i="2"/>
  <c r="T399" i="2"/>
  <c r="S399" i="2"/>
  <c r="T398" i="2"/>
  <c r="S398" i="2"/>
  <c r="T397" i="2"/>
  <c r="S397" i="2"/>
  <c r="T396" i="2"/>
  <c r="S396" i="2"/>
  <c r="T395" i="2"/>
  <c r="S395" i="2"/>
  <c r="T394" i="2"/>
  <c r="S394" i="2"/>
  <c r="T393" i="2"/>
  <c r="S393" i="2"/>
  <c r="T392" i="2"/>
  <c r="S392" i="2"/>
  <c r="T391" i="2"/>
  <c r="S391" i="2"/>
  <c r="T390" i="2"/>
  <c r="S390" i="2"/>
  <c r="T389" i="2"/>
  <c r="S389" i="2"/>
  <c r="T388" i="2"/>
  <c r="S388" i="2"/>
  <c r="T387" i="2"/>
  <c r="S387" i="2"/>
  <c r="T386" i="2"/>
  <c r="S386" i="2"/>
  <c r="T385" i="2"/>
  <c r="S385" i="2"/>
  <c r="T384" i="2"/>
  <c r="S384" i="2"/>
  <c r="T383" i="2"/>
  <c r="S383" i="2"/>
  <c r="T382" i="2"/>
  <c r="S382" i="2"/>
  <c r="T381" i="2"/>
  <c r="S381" i="2"/>
  <c r="T380" i="2"/>
  <c r="S380" i="2"/>
  <c r="T379" i="2"/>
  <c r="S379" i="2"/>
  <c r="T378" i="2"/>
  <c r="S378" i="2"/>
  <c r="T377" i="2"/>
  <c r="S377" i="2"/>
  <c r="T376" i="2"/>
  <c r="S376" i="2"/>
  <c r="T375" i="2"/>
  <c r="S375" i="2"/>
  <c r="T374" i="2"/>
  <c r="S374" i="2"/>
  <c r="T373" i="2"/>
  <c r="S373" i="2"/>
  <c r="T372" i="2"/>
  <c r="S372" i="2"/>
  <c r="T371" i="2"/>
  <c r="S371" i="2"/>
  <c r="T370" i="2"/>
  <c r="S370" i="2"/>
  <c r="T369" i="2"/>
  <c r="S369" i="2"/>
  <c r="T368" i="2"/>
  <c r="S368" i="2"/>
  <c r="T367" i="2"/>
  <c r="S367" i="2"/>
  <c r="T366" i="2"/>
  <c r="S366" i="2"/>
  <c r="T365" i="2"/>
  <c r="S365" i="2"/>
  <c r="T364" i="2"/>
  <c r="S364" i="2"/>
  <c r="T363" i="2"/>
  <c r="S363" i="2"/>
  <c r="T362" i="2"/>
  <c r="S362" i="2"/>
  <c r="T361" i="2"/>
  <c r="S361" i="2"/>
  <c r="T360" i="2"/>
  <c r="S360" i="2"/>
  <c r="T359" i="2"/>
  <c r="S359" i="2"/>
  <c r="T358" i="2"/>
  <c r="S358" i="2"/>
  <c r="T357" i="2"/>
  <c r="S357" i="2"/>
  <c r="T356" i="2"/>
  <c r="S356" i="2"/>
  <c r="T355" i="2"/>
  <c r="S355" i="2"/>
  <c r="T354" i="2"/>
  <c r="S354" i="2"/>
  <c r="T353" i="2"/>
  <c r="S353" i="2"/>
  <c r="T352" i="2"/>
  <c r="S352" i="2"/>
  <c r="T351" i="2"/>
  <c r="S351" i="2"/>
  <c r="T350" i="2"/>
  <c r="S350" i="2"/>
  <c r="T349" i="2"/>
  <c r="S349" i="2"/>
  <c r="T348" i="2"/>
  <c r="S348" i="2"/>
  <c r="T347" i="2"/>
  <c r="S347" i="2"/>
  <c r="T346" i="2"/>
  <c r="S346" i="2"/>
  <c r="T345" i="2"/>
  <c r="S345" i="2"/>
  <c r="T344" i="2"/>
  <c r="S344" i="2"/>
  <c r="T343" i="2"/>
  <c r="S343" i="2"/>
  <c r="T342" i="2"/>
  <c r="S342" i="2"/>
  <c r="T341" i="2"/>
  <c r="S341" i="2"/>
  <c r="T340" i="2"/>
  <c r="S340" i="2"/>
  <c r="T339" i="2"/>
  <c r="S339" i="2"/>
  <c r="T338" i="2"/>
  <c r="S338" i="2"/>
  <c r="T337" i="2"/>
  <c r="S337" i="2"/>
  <c r="T336" i="2"/>
  <c r="S336" i="2"/>
  <c r="T335" i="2"/>
  <c r="S335" i="2"/>
  <c r="T334" i="2"/>
  <c r="S334" i="2"/>
  <c r="T333" i="2"/>
  <c r="S333" i="2"/>
  <c r="T332" i="2"/>
  <c r="S332" i="2"/>
  <c r="T331" i="2"/>
  <c r="S331" i="2"/>
  <c r="T330" i="2"/>
  <c r="S330" i="2"/>
  <c r="T329" i="2"/>
  <c r="S329" i="2"/>
  <c r="T328" i="2"/>
  <c r="S328" i="2"/>
  <c r="T327" i="2"/>
  <c r="S327" i="2"/>
  <c r="T326" i="2"/>
  <c r="S326" i="2"/>
  <c r="T325" i="2"/>
  <c r="S325" i="2"/>
  <c r="T324" i="2"/>
  <c r="S324" i="2"/>
  <c r="T323" i="2"/>
  <c r="S323" i="2"/>
  <c r="T322" i="2"/>
  <c r="S322" i="2"/>
  <c r="T321" i="2"/>
  <c r="S321" i="2"/>
  <c r="T320" i="2"/>
  <c r="S320" i="2"/>
  <c r="T319" i="2"/>
  <c r="S319" i="2"/>
  <c r="T318" i="2"/>
  <c r="S318" i="2"/>
  <c r="T317" i="2"/>
  <c r="S317" i="2"/>
  <c r="T316" i="2"/>
  <c r="S316" i="2"/>
  <c r="T315" i="2"/>
  <c r="S315" i="2"/>
  <c r="T314" i="2"/>
  <c r="S314" i="2"/>
  <c r="T313" i="2"/>
  <c r="S313" i="2"/>
  <c r="T312" i="2"/>
  <c r="S312" i="2"/>
  <c r="T311" i="2"/>
  <c r="S311" i="2"/>
  <c r="T310" i="2"/>
  <c r="S310" i="2"/>
  <c r="T309" i="2"/>
  <c r="S309" i="2"/>
  <c r="T308" i="2"/>
  <c r="S308" i="2"/>
  <c r="T307" i="2"/>
  <c r="S307" i="2"/>
  <c r="T306" i="2"/>
  <c r="S306" i="2"/>
  <c r="T305" i="2"/>
  <c r="S305" i="2"/>
  <c r="T304" i="2"/>
  <c r="S304" i="2"/>
  <c r="T303" i="2"/>
  <c r="S303" i="2"/>
  <c r="T302" i="2"/>
  <c r="S302" i="2"/>
  <c r="T301" i="2"/>
  <c r="S301" i="2"/>
  <c r="T300" i="2"/>
  <c r="S300" i="2"/>
  <c r="T299" i="2"/>
  <c r="S299" i="2"/>
  <c r="T298" i="2"/>
  <c r="S298" i="2"/>
  <c r="T297" i="2"/>
  <c r="S297" i="2"/>
  <c r="T296" i="2"/>
  <c r="S296" i="2"/>
  <c r="T295" i="2"/>
  <c r="S295" i="2"/>
  <c r="T294" i="2"/>
  <c r="S294" i="2"/>
  <c r="T293" i="2"/>
  <c r="S293" i="2"/>
  <c r="T292" i="2"/>
  <c r="S292" i="2"/>
  <c r="T291" i="2"/>
  <c r="S291" i="2"/>
  <c r="T290" i="2"/>
  <c r="S290" i="2"/>
  <c r="T289" i="2"/>
  <c r="S289" i="2"/>
  <c r="T288" i="2"/>
  <c r="S288" i="2"/>
  <c r="T287" i="2"/>
  <c r="S287" i="2"/>
  <c r="T286" i="2"/>
  <c r="S286" i="2"/>
  <c r="T285" i="2"/>
  <c r="S285" i="2"/>
  <c r="T284" i="2"/>
  <c r="S284" i="2"/>
  <c r="T283" i="2"/>
  <c r="S283" i="2"/>
  <c r="T282" i="2"/>
  <c r="S282" i="2"/>
  <c r="T281" i="2"/>
  <c r="S281" i="2"/>
  <c r="T280" i="2"/>
  <c r="S280" i="2"/>
  <c r="T279" i="2"/>
  <c r="S279" i="2"/>
  <c r="T278" i="2"/>
  <c r="S278" i="2"/>
  <c r="T277" i="2"/>
  <c r="S277" i="2"/>
  <c r="T276" i="2"/>
  <c r="S276" i="2"/>
  <c r="T275" i="2"/>
  <c r="S275" i="2"/>
  <c r="T274" i="2"/>
  <c r="S274" i="2"/>
  <c r="T273" i="2"/>
  <c r="S273" i="2"/>
  <c r="T272" i="2"/>
  <c r="S272" i="2"/>
  <c r="T271" i="2"/>
  <c r="S271" i="2"/>
  <c r="T270" i="2"/>
  <c r="S270" i="2"/>
  <c r="T269" i="2"/>
  <c r="S269" i="2"/>
  <c r="T268" i="2"/>
  <c r="S268" i="2"/>
  <c r="T267" i="2"/>
  <c r="S267" i="2"/>
  <c r="T266" i="2"/>
  <c r="S266" i="2"/>
  <c r="T265" i="2"/>
  <c r="S265" i="2"/>
  <c r="T264" i="2"/>
  <c r="S264" i="2"/>
  <c r="T263" i="2"/>
  <c r="S263" i="2"/>
  <c r="T262" i="2"/>
  <c r="S262" i="2"/>
  <c r="T261" i="2"/>
  <c r="S261" i="2"/>
  <c r="T260" i="2"/>
  <c r="S260" i="2"/>
  <c r="T259" i="2"/>
  <c r="S259" i="2"/>
  <c r="T258" i="2"/>
  <c r="S258" i="2"/>
  <c r="T257" i="2"/>
  <c r="S257" i="2"/>
  <c r="T256" i="2"/>
  <c r="S256" i="2"/>
  <c r="T255" i="2"/>
  <c r="S255" i="2"/>
  <c r="T254" i="2"/>
  <c r="S254" i="2"/>
  <c r="T253" i="2"/>
  <c r="S253" i="2"/>
  <c r="T252" i="2"/>
  <c r="S252" i="2"/>
  <c r="T251" i="2"/>
  <c r="S251" i="2"/>
  <c r="T250" i="2"/>
  <c r="S250" i="2"/>
  <c r="T249" i="2"/>
  <c r="S249" i="2"/>
  <c r="T248" i="2"/>
  <c r="S248" i="2"/>
  <c r="T247" i="2"/>
  <c r="S247" i="2"/>
  <c r="T246" i="2"/>
  <c r="S246" i="2"/>
  <c r="T245" i="2"/>
  <c r="S245" i="2"/>
  <c r="T244" i="2"/>
  <c r="S244" i="2"/>
  <c r="T243" i="2"/>
  <c r="S243" i="2"/>
  <c r="T242" i="2"/>
  <c r="S242" i="2"/>
  <c r="T241" i="2"/>
  <c r="S241" i="2"/>
  <c r="T240" i="2"/>
  <c r="S240" i="2"/>
  <c r="T239" i="2"/>
  <c r="S239" i="2"/>
  <c r="T238" i="2"/>
  <c r="S238" i="2"/>
  <c r="T237" i="2"/>
  <c r="S237" i="2"/>
  <c r="T236" i="2"/>
  <c r="S236" i="2"/>
  <c r="T235" i="2"/>
  <c r="S235" i="2"/>
  <c r="T234" i="2"/>
  <c r="S234" i="2"/>
  <c r="T233" i="2"/>
  <c r="S233" i="2"/>
  <c r="T232" i="2"/>
  <c r="S232" i="2"/>
  <c r="T231" i="2"/>
  <c r="S231" i="2"/>
  <c r="T230" i="2"/>
  <c r="S230" i="2"/>
  <c r="T229" i="2"/>
  <c r="S229" i="2"/>
  <c r="T228" i="2"/>
  <c r="S228" i="2"/>
  <c r="T227" i="2"/>
  <c r="S227" i="2"/>
  <c r="T226" i="2"/>
  <c r="S226" i="2"/>
  <c r="T225" i="2"/>
  <c r="S225" i="2"/>
  <c r="T224" i="2"/>
  <c r="S224" i="2"/>
  <c r="T223" i="2"/>
  <c r="S223" i="2"/>
  <c r="T222" i="2"/>
  <c r="S222" i="2"/>
  <c r="T221" i="2"/>
  <c r="S221" i="2"/>
  <c r="T220" i="2"/>
  <c r="S220" i="2"/>
  <c r="T219" i="2"/>
  <c r="S219" i="2"/>
  <c r="T218" i="2"/>
  <c r="S218" i="2"/>
  <c r="T217" i="2"/>
  <c r="S217" i="2"/>
  <c r="T216" i="2"/>
  <c r="S216" i="2"/>
  <c r="T215" i="2"/>
  <c r="S215" i="2"/>
  <c r="T214" i="2"/>
  <c r="S214" i="2"/>
  <c r="T213" i="2"/>
  <c r="S213" i="2"/>
  <c r="T212" i="2"/>
  <c r="S212" i="2"/>
  <c r="T211" i="2"/>
  <c r="S211" i="2"/>
  <c r="T210" i="2"/>
  <c r="S210" i="2"/>
  <c r="T209" i="2"/>
  <c r="S209" i="2"/>
  <c r="T208" i="2"/>
  <c r="S208" i="2"/>
  <c r="T207" i="2"/>
  <c r="S207" i="2"/>
  <c r="T206" i="2"/>
  <c r="S206" i="2"/>
  <c r="T205" i="2"/>
  <c r="S205" i="2"/>
  <c r="T204" i="2"/>
  <c r="S204" i="2"/>
  <c r="T203" i="2"/>
  <c r="S203" i="2"/>
  <c r="T202" i="2"/>
  <c r="S202" i="2"/>
  <c r="T201" i="2"/>
  <c r="S201" i="2"/>
  <c r="T200" i="2"/>
  <c r="S200" i="2"/>
  <c r="T199" i="2"/>
  <c r="S199" i="2"/>
  <c r="T198" i="2"/>
  <c r="S198" i="2"/>
  <c r="T197" i="2"/>
  <c r="S197" i="2"/>
  <c r="T196" i="2"/>
  <c r="S196" i="2"/>
  <c r="T195" i="2"/>
  <c r="S195" i="2"/>
  <c r="T194" i="2"/>
  <c r="S194" i="2"/>
  <c r="T193" i="2"/>
  <c r="S193" i="2"/>
  <c r="T192" i="2"/>
  <c r="S192" i="2"/>
  <c r="T191" i="2"/>
  <c r="S191" i="2"/>
  <c r="T190" i="2"/>
  <c r="S190" i="2"/>
  <c r="T189" i="2"/>
  <c r="S189" i="2"/>
  <c r="T188" i="2"/>
  <c r="S188" i="2"/>
  <c r="T187" i="2"/>
  <c r="S187" i="2"/>
  <c r="T186" i="2"/>
  <c r="S186" i="2"/>
  <c r="T185" i="2"/>
  <c r="S185" i="2"/>
  <c r="T184" i="2"/>
  <c r="S184" i="2"/>
  <c r="T183" i="2"/>
  <c r="S183" i="2"/>
  <c r="T182" i="2"/>
  <c r="S182" i="2"/>
  <c r="T181" i="2"/>
  <c r="S181" i="2"/>
  <c r="T180" i="2"/>
  <c r="S180" i="2"/>
  <c r="T179" i="2"/>
  <c r="S179" i="2"/>
  <c r="T178" i="2"/>
  <c r="S178" i="2"/>
  <c r="T177" i="2"/>
  <c r="S177" i="2"/>
  <c r="T176" i="2"/>
  <c r="S176" i="2"/>
  <c r="T175" i="2"/>
  <c r="S175" i="2"/>
  <c r="T174" i="2"/>
  <c r="S174" i="2"/>
  <c r="T173" i="2"/>
  <c r="S173" i="2"/>
  <c r="T172" i="2"/>
  <c r="S172" i="2"/>
  <c r="T171" i="2"/>
  <c r="S171" i="2"/>
  <c r="T170" i="2"/>
  <c r="S170" i="2"/>
  <c r="T169" i="2"/>
  <c r="S169" i="2"/>
  <c r="T168" i="2"/>
  <c r="S168" i="2"/>
  <c r="T167" i="2"/>
  <c r="S167" i="2"/>
  <c r="T166" i="2"/>
  <c r="S166" i="2"/>
  <c r="T165" i="2"/>
  <c r="S165" i="2"/>
  <c r="T164" i="2"/>
  <c r="S164" i="2"/>
  <c r="T163" i="2"/>
  <c r="S163" i="2"/>
  <c r="T162" i="2"/>
  <c r="S162" i="2"/>
  <c r="T161" i="2"/>
  <c r="S161" i="2"/>
  <c r="T160" i="2"/>
  <c r="S160" i="2"/>
  <c r="T159" i="2"/>
  <c r="S159" i="2"/>
  <c r="T158" i="2"/>
  <c r="S158" i="2"/>
  <c r="T157" i="2"/>
  <c r="S157" i="2"/>
  <c r="T156" i="2"/>
  <c r="S156" i="2"/>
  <c r="T155" i="2"/>
  <c r="S155" i="2"/>
  <c r="T154" i="2"/>
  <c r="S154" i="2"/>
  <c r="T153" i="2"/>
  <c r="S153" i="2"/>
  <c r="T152" i="2"/>
  <c r="S152" i="2"/>
  <c r="T151" i="2"/>
  <c r="S151" i="2"/>
  <c r="T150" i="2"/>
  <c r="S150" i="2"/>
  <c r="T149" i="2"/>
  <c r="S149" i="2"/>
  <c r="T148" i="2"/>
  <c r="S148" i="2"/>
  <c r="T147" i="2"/>
  <c r="S147" i="2"/>
  <c r="T146" i="2"/>
  <c r="S146" i="2"/>
  <c r="T145" i="2"/>
  <c r="S145" i="2"/>
  <c r="T144" i="2"/>
  <c r="S144" i="2"/>
  <c r="T143" i="2"/>
  <c r="S143" i="2"/>
  <c r="T142" i="2"/>
  <c r="S142" i="2"/>
  <c r="T141" i="2"/>
  <c r="S141" i="2"/>
  <c r="T140" i="2"/>
  <c r="S140" i="2"/>
  <c r="T139" i="2"/>
  <c r="S139" i="2"/>
  <c r="T138" i="2"/>
  <c r="S138" i="2"/>
  <c r="T137" i="2"/>
  <c r="S137" i="2"/>
  <c r="T136" i="2"/>
  <c r="S136" i="2"/>
  <c r="T135" i="2"/>
  <c r="S135" i="2"/>
  <c r="T134" i="2"/>
  <c r="S134" i="2"/>
  <c r="T133" i="2"/>
  <c r="S133" i="2"/>
  <c r="T132" i="2"/>
  <c r="S132" i="2"/>
  <c r="T131" i="2"/>
  <c r="S131" i="2"/>
  <c r="T130" i="2"/>
  <c r="S130" i="2"/>
  <c r="T129" i="2"/>
  <c r="S129" i="2"/>
  <c r="T128" i="2"/>
  <c r="S128" i="2"/>
  <c r="T127" i="2"/>
  <c r="S127" i="2"/>
  <c r="T126" i="2"/>
  <c r="S126" i="2"/>
  <c r="T125" i="2"/>
  <c r="S125" i="2"/>
  <c r="T124" i="2"/>
  <c r="S124" i="2"/>
  <c r="T123" i="2"/>
  <c r="S123" i="2"/>
  <c r="T122" i="2"/>
  <c r="S122" i="2"/>
  <c r="T121" i="2"/>
  <c r="S121" i="2"/>
  <c r="T120" i="2"/>
  <c r="S120" i="2"/>
  <c r="T119" i="2"/>
  <c r="S119" i="2"/>
  <c r="T118" i="2"/>
  <c r="S118" i="2"/>
  <c r="T117" i="2"/>
  <c r="S117" i="2"/>
  <c r="T116" i="2"/>
  <c r="S116" i="2"/>
  <c r="T115" i="2"/>
  <c r="S115" i="2"/>
  <c r="T114" i="2"/>
  <c r="S114" i="2"/>
  <c r="T113" i="2"/>
  <c r="S113" i="2"/>
  <c r="T112" i="2"/>
  <c r="S112" i="2"/>
  <c r="T111" i="2"/>
  <c r="S111" i="2"/>
  <c r="T110" i="2"/>
  <c r="S110" i="2"/>
  <c r="T109" i="2"/>
  <c r="S109" i="2"/>
  <c r="T108" i="2"/>
  <c r="S108" i="2"/>
  <c r="T107" i="2"/>
  <c r="S107" i="2"/>
  <c r="T106" i="2"/>
  <c r="S106" i="2"/>
  <c r="T105" i="2"/>
  <c r="S105" i="2"/>
  <c r="T104" i="2"/>
  <c r="S104" i="2"/>
  <c r="T103" i="2"/>
  <c r="S103" i="2"/>
  <c r="T102" i="2"/>
  <c r="S102" i="2"/>
  <c r="T101" i="2"/>
  <c r="S101" i="2"/>
  <c r="T100" i="2"/>
  <c r="S100" i="2"/>
  <c r="T99" i="2"/>
  <c r="S99" i="2"/>
  <c r="T98" i="2"/>
  <c r="S98" i="2"/>
  <c r="T97" i="2"/>
  <c r="S97" i="2"/>
  <c r="T96" i="2"/>
  <c r="S96" i="2"/>
  <c r="T95" i="2"/>
  <c r="S95" i="2"/>
  <c r="T94" i="2"/>
  <c r="S94" i="2"/>
  <c r="T93" i="2"/>
  <c r="S93" i="2"/>
  <c r="T92" i="2"/>
  <c r="S92" i="2"/>
  <c r="T91" i="2"/>
  <c r="S91" i="2"/>
  <c r="T90" i="2"/>
  <c r="S90" i="2"/>
  <c r="T89" i="2"/>
  <c r="S89" i="2"/>
  <c r="T88" i="2"/>
  <c r="S88" i="2"/>
  <c r="T87" i="2"/>
  <c r="S87" i="2"/>
  <c r="T86" i="2"/>
  <c r="S86" i="2"/>
  <c r="T85" i="2"/>
  <c r="S85" i="2"/>
  <c r="T84" i="2"/>
  <c r="S84" i="2"/>
  <c r="T83" i="2"/>
  <c r="S83" i="2"/>
  <c r="T82" i="2"/>
  <c r="S82" i="2"/>
  <c r="T81" i="2"/>
  <c r="S81" i="2"/>
  <c r="T80" i="2"/>
  <c r="S80" i="2"/>
  <c r="T79" i="2"/>
  <c r="S79" i="2"/>
  <c r="T78" i="2"/>
  <c r="S78" i="2"/>
  <c r="T77" i="2"/>
  <c r="S77" i="2"/>
  <c r="T76" i="2"/>
  <c r="S76" i="2"/>
  <c r="T75" i="2"/>
  <c r="S75" i="2"/>
  <c r="T74" i="2"/>
  <c r="S74" i="2"/>
  <c r="T73" i="2"/>
  <c r="S73" i="2"/>
  <c r="T72" i="2"/>
  <c r="S72" i="2"/>
  <c r="T71" i="2"/>
  <c r="S71" i="2"/>
  <c r="T70" i="2"/>
  <c r="S70" i="2"/>
  <c r="T69" i="2"/>
  <c r="S69" i="2"/>
  <c r="T68" i="2"/>
  <c r="S68" i="2"/>
  <c r="T67" i="2"/>
  <c r="S67" i="2"/>
  <c r="T66" i="2"/>
  <c r="S66" i="2"/>
  <c r="T65" i="2"/>
  <c r="S65" i="2"/>
  <c r="T64" i="2"/>
  <c r="S64" i="2"/>
  <c r="T63" i="2"/>
  <c r="S63" i="2"/>
  <c r="T62" i="2"/>
  <c r="S62" i="2"/>
  <c r="T61" i="2"/>
  <c r="S61" i="2"/>
  <c r="T60" i="2"/>
  <c r="S60" i="2"/>
  <c r="T59" i="2"/>
  <c r="S59" i="2"/>
  <c r="T58" i="2"/>
  <c r="S58" i="2"/>
  <c r="T57" i="2"/>
  <c r="S57" i="2"/>
  <c r="T56" i="2"/>
  <c r="S56" i="2"/>
  <c r="T55" i="2"/>
  <c r="S55" i="2"/>
  <c r="T54" i="2"/>
  <c r="S54" i="2"/>
  <c r="T53" i="2"/>
  <c r="S53" i="2"/>
  <c r="T52" i="2"/>
  <c r="S52" i="2"/>
  <c r="T51" i="2"/>
  <c r="S51" i="2"/>
  <c r="T50" i="2"/>
  <c r="S50" i="2"/>
  <c r="T49" i="2"/>
  <c r="S49" i="2"/>
  <c r="T48" i="2"/>
  <c r="S48" i="2"/>
  <c r="T47" i="2"/>
  <c r="S47" i="2"/>
  <c r="T46" i="2"/>
  <c r="S46" i="2"/>
  <c r="T45" i="2"/>
  <c r="S45" i="2"/>
  <c r="T44" i="2"/>
  <c r="S44" i="2"/>
  <c r="T43" i="2"/>
  <c r="S43" i="2"/>
  <c r="T42" i="2"/>
  <c r="S42" i="2"/>
  <c r="T41" i="2"/>
  <c r="S4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  <c r="T4" i="2"/>
  <c r="S4" i="2"/>
  <c r="T3" i="2"/>
  <c r="S3" i="2"/>
  <c r="T2" i="2"/>
  <c r="S2" i="2"/>
  <c r="Q53" i="2" l="1"/>
  <c r="Q75" i="2"/>
  <c r="Q284" i="2"/>
  <c r="Q350" i="2"/>
  <c r="Q394" i="2"/>
  <c r="Q405" i="2"/>
  <c r="Q247" i="2"/>
  <c r="Q116" i="2"/>
  <c r="Q138" i="2"/>
  <c r="Q160" i="2"/>
  <c r="Q248" i="2"/>
  <c r="Q314" i="2"/>
  <c r="Q347" i="2"/>
  <c r="Q380" i="2"/>
  <c r="Q402" i="2"/>
  <c r="Q7" i="2"/>
  <c r="Q29" i="2"/>
  <c r="Q62" i="2"/>
  <c r="Q84" i="2"/>
  <c r="Q95" i="2"/>
  <c r="Q106" i="2"/>
  <c r="Q46" i="2"/>
  <c r="Q79" i="2"/>
  <c r="Q222" i="2"/>
  <c r="Q233" i="2"/>
  <c r="Q376" i="2"/>
  <c r="Q409" i="2"/>
  <c r="Q33" i="2"/>
  <c r="Q231" i="2"/>
  <c r="Q253" i="2"/>
  <c r="Q275" i="2"/>
  <c r="Q286" i="2"/>
  <c r="Q330" i="2"/>
  <c r="Q312" i="2"/>
  <c r="Q323" i="2"/>
  <c r="Q334" i="2"/>
  <c r="Q411" i="2"/>
  <c r="Q28" i="2"/>
  <c r="Q305" i="2"/>
  <c r="Q36" i="2"/>
  <c r="Q80" i="2"/>
  <c r="Q249" i="2"/>
  <c r="Q30" i="2"/>
  <c r="Q96" i="2"/>
  <c r="Q162" i="2"/>
  <c r="Q228" i="2"/>
  <c r="Q340" i="2"/>
  <c r="Q320" i="2"/>
  <c r="Q256" i="2"/>
  <c r="Q322" i="2"/>
  <c r="Q344" i="2"/>
  <c r="Q399" i="2"/>
  <c r="Q410" i="2"/>
  <c r="Q421" i="2"/>
  <c r="Q324" i="2"/>
  <c r="Q315" i="2"/>
  <c r="Q108" i="2"/>
  <c r="Q318" i="2"/>
  <c r="Q100" i="2"/>
  <c r="Q397" i="2"/>
  <c r="Q24" i="2"/>
  <c r="Q124" i="2"/>
  <c r="Q135" i="2"/>
  <c r="Q157" i="2"/>
  <c r="Q179" i="2"/>
  <c r="Q190" i="2"/>
  <c r="Q212" i="2"/>
  <c r="Q234" i="2"/>
  <c r="Q4" i="2"/>
  <c r="Q114" i="2"/>
  <c r="Q147" i="2"/>
  <c r="Q180" i="2"/>
  <c r="Q224" i="2"/>
  <c r="Q163" i="2"/>
  <c r="Q185" i="2"/>
  <c r="Q11" i="2"/>
  <c r="Q175" i="2"/>
  <c r="Q241" i="2"/>
  <c r="Q306" i="2"/>
  <c r="Q328" i="2"/>
  <c r="Q13" i="2"/>
  <c r="Q166" i="2"/>
  <c r="Q188" i="2"/>
  <c r="Q221" i="2"/>
  <c r="Q243" i="2"/>
  <c r="Q373" i="2"/>
  <c r="Q406" i="2"/>
  <c r="Q417" i="2"/>
  <c r="Q156" i="2"/>
  <c r="Q266" i="2"/>
  <c r="Q408" i="2"/>
  <c r="Q37" i="2"/>
  <c r="Q70" i="2"/>
  <c r="Q60" i="2"/>
  <c r="Q104" i="2"/>
  <c r="Q97" i="2"/>
  <c r="Q381" i="2"/>
  <c r="Q78" i="2"/>
  <c r="Q165" i="2"/>
  <c r="Q187" i="2"/>
  <c r="Q209" i="2"/>
  <c r="Q220" i="2"/>
  <c r="Q349" i="2"/>
  <c r="Q371" i="2"/>
  <c r="Q415" i="2"/>
  <c r="Q47" i="2"/>
  <c r="Q58" i="2"/>
  <c r="Q134" i="2"/>
  <c r="Q145" i="2"/>
  <c r="Q189" i="2"/>
  <c r="Q200" i="2"/>
  <c r="Q211" i="2"/>
  <c r="Q265" i="2"/>
  <c r="Q287" i="2"/>
  <c r="Q336" i="2"/>
  <c r="Q129" i="2"/>
  <c r="Q364" i="2"/>
  <c r="Q50" i="2"/>
  <c r="Q72" i="2"/>
  <c r="Q137" i="2"/>
  <c r="Q214" i="2"/>
  <c r="Q301" i="2"/>
  <c r="Q8" i="2"/>
  <c r="Q238" i="2"/>
  <c r="Q20" i="2"/>
  <c r="Q63" i="2"/>
  <c r="Q117" i="2"/>
  <c r="Q128" i="2"/>
  <c r="Q205" i="2"/>
  <c r="Q292" i="2"/>
  <c r="Q303" i="2"/>
  <c r="Q368" i="2"/>
  <c r="Q400" i="2"/>
  <c r="Q210" i="2"/>
  <c r="Q295" i="2"/>
  <c r="Q412" i="2"/>
  <c r="Q264" i="2"/>
  <c r="Q297" i="2"/>
  <c r="Q3" i="2"/>
  <c r="Q42" i="2"/>
  <c r="Q213" i="2"/>
  <c r="Q254" i="2"/>
  <c r="Q246" i="2"/>
  <c r="Q113" i="2"/>
  <c r="Q242" i="2"/>
  <c r="Q64" i="2"/>
  <c r="Q45" i="2"/>
  <c r="Q55" i="2"/>
  <c r="Q66" i="2"/>
  <c r="Q118" i="2"/>
  <c r="Q363" i="2"/>
  <c r="Q6" i="2"/>
  <c r="Q16" i="2"/>
  <c r="Q67" i="2"/>
  <c r="Q119" i="2"/>
  <c r="Q141" i="2"/>
  <c r="Q237" i="2"/>
  <c r="Q342" i="2"/>
  <c r="Q353" i="2"/>
  <c r="Q255" i="2"/>
  <c r="Q120" i="2"/>
  <c r="Q259" i="2"/>
  <c r="Q270" i="2"/>
  <c r="Q281" i="2"/>
  <c r="Q203" i="2"/>
  <c r="Q366" i="2"/>
  <c r="Q91" i="2"/>
  <c r="Q250" i="2"/>
  <c r="Q261" i="2"/>
  <c r="Q272" i="2"/>
  <c r="Q345" i="2"/>
  <c r="Q356" i="2"/>
  <c r="Q367" i="2"/>
  <c r="Q388" i="2"/>
  <c r="Q351" i="2"/>
  <c r="Q27" i="2"/>
  <c r="Q56" i="2"/>
  <c r="Q87" i="2"/>
  <c r="Q159" i="2"/>
  <c r="Q280" i="2"/>
  <c r="Q291" i="2"/>
  <c r="Q331" i="2"/>
  <c r="Q341" i="2"/>
  <c r="Q352" i="2"/>
  <c r="Q382" i="2"/>
  <c r="Q413" i="2"/>
  <c r="Q239" i="2"/>
  <c r="Q171" i="2"/>
  <c r="Q38" i="2"/>
  <c r="Q89" i="2"/>
  <c r="Q99" i="2"/>
  <c r="Q109" i="2"/>
  <c r="Q172" i="2"/>
  <c r="Q282" i="2"/>
  <c r="Q313" i="2"/>
  <c r="Q343" i="2"/>
  <c r="Q354" i="2"/>
  <c r="Q25" i="2"/>
  <c r="Q283" i="2"/>
  <c r="Q121" i="2"/>
  <c r="Q71" i="2"/>
  <c r="Q92" i="2"/>
  <c r="Q122" i="2"/>
  <c r="Q245" i="2"/>
  <c r="Q418" i="2"/>
  <c r="Q12" i="2"/>
  <c r="Q22" i="2"/>
  <c r="Q102" i="2"/>
  <c r="Q226" i="2"/>
  <c r="Q23" i="2"/>
  <c r="Q103" i="2"/>
  <c r="Q197" i="2"/>
  <c r="Q217" i="2"/>
  <c r="Q227" i="2"/>
  <c r="Q317" i="2"/>
  <c r="Q327" i="2"/>
  <c r="Q378" i="2"/>
  <c r="Q420" i="2"/>
  <c r="Q308" i="2"/>
  <c r="Q5" i="2"/>
  <c r="Q146" i="2"/>
  <c r="Q178" i="2"/>
  <c r="Q199" i="2"/>
  <c r="Q299" i="2"/>
  <c r="Q329" i="2"/>
  <c r="Q339" i="2"/>
  <c r="Q390" i="2"/>
  <c r="Q41" i="2"/>
  <c r="Q139" i="2"/>
  <c r="Q325" i="2"/>
  <c r="Q101" i="2"/>
  <c r="Q130" i="2"/>
  <c r="Q140" i="2"/>
  <c r="Q150" i="2"/>
  <c r="Q170" i="2"/>
  <c r="Q229" i="2"/>
  <c r="Q326" i="2"/>
  <c r="Q365" i="2"/>
  <c r="Q395" i="2"/>
  <c r="Q161" i="2"/>
  <c r="Q257" i="2"/>
  <c r="Q267" i="2"/>
  <c r="Q346" i="2"/>
  <c r="Q385" i="2"/>
  <c r="Q198" i="2"/>
  <c r="Q54" i="2"/>
  <c r="Q112" i="2"/>
  <c r="Q258" i="2"/>
  <c r="Q268" i="2"/>
  <c r="Q278" i="2"/>
  <c r="Q288" i="2"/>
  <c r="Q386" i="2"/>
  <c r="Q416" i="2"/>
  <c r="Q403" i="2"/>
  <c r="Q74" i="2"/>
  <c r="Q279" i="2"/>
  <c r="Q289" i="2"/>
  <c r="Q133" i="2"/>
  <c r="Q143" i="2"/>
  <c r="Q153" i="2"/>
  <c r="Q182" i="2"/>
  <c r="Q300" i="2"/>
  <c r="Q348" i="2"/>
  <c r="Q358" i="2"/>
  <c r="Q398" i="2"/>
  <c r="Q372" i="2"/>
  <c r="Q18" i="2"/>
  <c r="Q144" i="2"/>
  <c r="Q154" i="2"/>
  <c r="Q183" i="2"/>
  <c r="Q260" i="2"/>
  <c r="Q167" i="2"/>
  <c r="Q158" i="2"/>
  <c r="Q19" i="2"/>
  <c r="Q57" i="2"/>
  <c r="Q86" i="2"/>
  <c r="Q125" i="2"/>
  <c r="Q155" i="2"/>
  <c r="Q271" i="2"/>
  <c r="Q321" i="2"/>
  <c r="Q360" i="2"/>
  <c r="Q379" i="2"/>
  <c r="Q204" i="2"/>
  <c r="Q48" i="2"/>
  <c r="Q77" i="2"/>
  <c r="Q136" i="2"/>
  <c r="Q195" i="2"/>
  <c r="Q2" i="2"/>
  <c r="Q88" i="2"/>
  <c r="Q196" i="2"/>
  <c r="Q225" i="2"/>
  <c r="Q244" i="2"/>
  <c r="Q263" i="2"/>
  <c r="Q293" i="2"/>
  <c r="Q362" i="2"/>
  <c r="Q391" i="2"/>
  <c r="Q68" i="2"/>
  <c r="Q142" i="2"/>
  <c r="Q151" i="2"/>
  <c r="Q319" i="2"/>
  <c r="Q338" i="2"/>
  <c r="Q375" i="2"/>
  <c r="Q404" i="2"/>
  <c r="Q173" i="2"/>
  <c r="Q192" i="2"/>
  <c r="Q285" i="2"/>
  <c r="Q294" i="2"/>
  <c r="Q407" i="2"/>
  <c r="Q357" i="2"/>
  <c r="Q14" i="2"/>
  <c r="Q274" i="2"/>
  <c r="Q333" i="2"/>
  <c r="Q277" i="2"/>
  <c r="Q31" i="2"/>
  <c r="Q69" i="2"/>
  <c r="Q181" i="2"/>
  <c r="Q219" i="2"/>
  <c r="Q35" i="2"/>
  <c r="Q194" i="2"/>
  <c r="Q9" i="2"/>
  <c r="Q10" i="2"/>
  <c r="Q65" i="2"/>
  <c r="Q176" i="2"/>
  <c r="Q232" i="2"/>
  <c r="Q269" i="2"/>
  <c r="Q307" i="2"/>
  <c r="Q316" i="2"/>
  <c r="Q401" i="2"/>
  <c r="Q419" i="2"/>
  <c r="Q359" i="2"/>
  <c r="Q26" i="2"/>
  <c r="Q193" i="2"/>
  <c r="Q335" i="2"/>
  <c r="Q392" i="2"/>
  <c r="Q202" i="2"/>
  <c r="Q94" i="2"/>
  <c r="Q149" i="2"/>
  <c r="Q85" i="2"/>
  <c r="Q131" i="2"/>
  <c r="Q298" i="2"/>
  <c r="Q393" i="2"/>
  <c r="Q276" i="2"/>
  <c r="Q177" i="2"/>
  <c r="Q21" i="2"/>
  <c r="Q215" i="2"/>
  <c r="Q152" i="2"/>
  <c r="Q51" i="2"/>
  <c r="Q107" i="2"/>
  <c r="Q52" i="2"/>
  <c r="Q34" i="2"/>
  <c r="Q90" i="2"/>
  <c r="Q73" i="2"/>
  <c r="Q40" i="2"/>
  <c r="Q123" i="2"/>
  <c r="Q132" i="2"/>
  <c r="Q216" i="2"/>
  <c r="Q262" i="2"/>
  <c r="Q290" i="2"/>
  <c r="Q309" i="2"/>
  <c r="Q337" i="2"/>
  <c r="Q374" i="2"/>
  <c r="Q384" i="2"/>
  <c r="Q61" i="2"/>
  <c r="Q186" i="2"/>
  <c r="Q296" i="2"/>
  <c r="Q105" i="2"/>
  <c r="Q230" i="2"/>
  <c r="Q39" i="2"/>
  <c r="Q81" i="2"/>
  <c r="Q98" i="2"/>
  <c r="Q115" i="2"/>
  <c r="Q148" i="2"/>
  <c r="Q206" i="2"/>
  <c r="Q223" i="2"/>
  <c r="Q240" i="2"/>
  <c r="Q273" i="2"/>
  <c r="Q332" i="2"/>
  <c r="Q383" i="2"/>
  <c r="Q355" i="2"/>
  <c r="Q15" i="2"/>
  <c r="Q32" i="2"/>
  <c r="Q49" i="2"/>
  <c r="Q82" i="2"/>
  <c r="Q174" i="2"/>
  <c r="Q207" i="2"/>
  <c r="Q83" i="2"/>
  <c r="Q17" i="2"/>
  <c r="Q414" i="2"/>
  <c r="Q208" i="2"/>
  <c r="Q59" i="2"/>
  <c r="Q76" i="2"/>
  <c r="Q93" i="2"/>
  <c r="Q126" i="2"/>
  <c r="Q184" i="2"/>
  <c r="Q201" i="2"/>
  <c r="Q218" i="2"/>
  <c r="Q251" i="2"/>
  <c r="Q310" i="2"/>
  <c r="Q377" i="2"/>
  <c r="Q43" i="2"/>
  <c r="Q110" i="2"/>
  <c r="Q168" i="2"/>
  <c r="Q235" i="2"/>
  <c r="Q302" i="2"/>
  <c r="Q361" i="2"/>
  <c r="Q369" i="2"/>
  <c r="Q191" i="2"/>
  <c r="Q44" i="2"/>
  <c r="Q111" i="2"/>
  <c r="Q127" i="2"/>
  <c r="Q169" i="2"/>
  <c r="Q236" i="2"/>
  <c r="Q252" i="2"/>
  <c r="Q311" i="2"/>
  <c r="Q370" i="2"/>
  <c r="Q387" i="2"/>
  <c r="Q3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P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3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5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8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9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4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5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6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8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59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0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1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2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3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4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6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8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69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0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1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2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3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4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5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6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8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79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0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1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2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3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4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5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6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89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0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3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4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5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6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8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99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1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2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3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4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5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6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7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8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09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0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1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2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3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4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5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6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7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8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19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0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1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2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3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4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5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6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7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8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29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0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1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2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3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4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5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6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7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8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39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0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1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2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3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4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5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6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7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8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49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0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1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2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3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4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5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6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7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8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59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0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1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2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3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4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5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6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7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8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69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0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1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2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3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4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5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6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7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8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79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0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1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2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3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4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5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6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7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8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89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0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1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2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3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4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5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6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7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8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199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0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1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2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3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4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5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6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7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8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09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0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1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2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3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4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5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6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7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8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19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0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1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2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3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4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5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6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7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8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29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0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1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2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3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4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5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6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7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8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39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0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1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2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3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4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5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6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7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8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49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0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1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2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3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4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5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6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7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8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59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0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1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2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3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4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5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6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7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8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69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0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1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2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3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4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5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6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7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8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79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0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1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2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3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4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5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6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7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8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89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0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1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2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3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4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5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6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7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8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299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0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1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2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3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4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5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6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7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8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09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0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1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2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3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4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5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6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7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8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19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0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1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2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3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4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5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6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7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8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29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0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1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2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3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4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5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6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7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8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39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0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1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2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3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4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5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6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7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8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49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0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1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2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3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4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5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6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7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8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59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0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1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2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3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4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5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6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7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8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69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0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1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2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3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4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5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6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7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8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79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0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1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2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3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4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5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6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7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8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89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0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1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2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3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4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5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6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7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8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399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0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1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2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3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4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5" authorId="0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6" authorId="0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7" authorId="0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8" authorId="0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09" authorId="0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0" authorId="0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1" authorId="0" shapeId="0" xr:uid="{00000000-0006-0000-0100-00009A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2" authorId="0" shapeId="0" xr:uid="{00000000-0006-0000-0100-00009B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3" authorId="0" shapeId="0" xr:uid="{00000000-0006-0000-0100-00009C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4" authorId="0" shapeId="0" xr:uid="{00000000-0006-0000-0100-00009D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5" authorId="0" shapeId="0" xr:uid="{00000000-0006-0000-0100-00009E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6" authorId="0" shapeId="0" xr:uid="{00000000-0006-0000-0100-00009F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7" authorId="0" shapeId="0" xr:uid="{00000000-0006-0000-0100-0000A0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8" authorId="0" shapeId="0" xr:uid="{00000000-0006-0000-0100-0000A1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19" authorId="0" shapeId="0" xr:uid="{00000000-0006-0000-0100-0000A2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20" authorId="0" shapeId="0" xr:uid="{00000000-0006-0000-0100-0000A3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  <comment ref="P421" authorId="0" shapeId="0" xr:uid="{00000000-0006-0000-0100-0000A4010000}">
      <text>
        <r>
          <rPr>
            <sz val="11"/>
            <color theme="1"/>
            <rFont val="Calibri"/>
            <family val="2"/>
            <scheme val="minor"/>
          </rPr>
          <t>Next-fastest times are from the user-supplied workbook unless this row is an NZSC displaced-record auto-update or joint-record override.</t>
        </r>
      </text>
    </comment>
  </commentList>
</comments>
</file>

<file path=xl/sharedStrings.xml><?xml version="1.0" encoding="utf-8"?>
<sst xmlns="http://schemas.openxmlformats.org/spreadsheetml/2006/main" count="5384" uniqueCount="1768">
  <si>
    <t>NZ age-group record margin review</t>
  </si>
  <si>
    <t>Purpose</t>
  </si>
  <si>
    <t>This workbook combines the supplied NZ age-group record books, all identified 2026 NZ Short Course Championship record updates, and the next-fastest times from the user-supplied workbook. It is intended for review before loading the data into the master website database.</t>
  </si>
  <si>
    <t>1</t>
  </si>
  <si>
    <t>Record Time and Next Fastest Time are deliberately stored as TEXT (e.g. 1:48.13) so Excel does not reinterpret swimming times as clock/date values.</t>
  </si>
  <si>
    <t>2</t>
  </si>
  <si>
    <t>Margin % = (next-fastest time - record time) / next-fastest time. Hidden helper columns convert display times to numeric seconds.</t>
  </si>
  <si>
    <t>3</t>
  </si>
  <si>
    <t>Next-fastest swimmer names remain blank where they were not supplied, except where a new NZSC 2026 record holder displaced a different swimmer; those former holders are auto-filled.</t>
  </si>
  <si>
    <t>4</t>
  </si>
  <si>
    <t>Joint records have a 0.00% margin because the other record holder is a different swimmer with the same time.</t>
  </si>
  <si>
    <t>5</t>
  </si>
  <si>
    <t>Published Standards have no swimmer holder. Their reference margin is retained but Top 20 Eligible? is set to NO.</t>
  </si>
  <si>
    <t>6</t>
  </si>
  <si>
    <t>The public Top 20 analysis should use only rows with Top 20 Eligible? = YES.</t>
  </si>
  <si>
    <t>7</t>
  </si>
  <si>
    <t>The SCM basis is the 23 Sep 2026 supplied record book plus record updates through 1 Oct 2026 from the NZSC 2026 site. LCM is the supplied record book as at 31 Aug 2026.</t>
  </si>
  <si>
    <t>Review summary</t>
  </si>
  <si>
    <t>Record/event rows</t>
  </si>
  <si>
    <t>Rows with next-fastest time populated</t>
  </si>
  <si>
    <t>NZSC 2026 record-event updates applied</t>
  </si>
  <si>
    <t>Next-fastest swimmer names auto-filled from displaced NZ records</t>
  </si>
  <si>
    <t>Joint record rows</t>
  </si>
  <si>
    <t>Standard rows (excluded from Top 20)</t>
  </si>
  <si>
    <t>Eligible swimmer-held record rows</t>
  </si>
  <si>
    <t>Current record rows</t>
  </si>
  <si>
    <t>SCM rows</t>
  </si>
  <si>
    <t>LCM rows</t>
  </si>
  <si>
    <t>NZSC 2026 age-record updates applied</t>
  </si>
  <si>
    <t>Rows auto-filled from displaced records</t>
  </si>
  <si>
    <t>Joint-record rows needing no input</t>
  </si>
  <si>
    <t>Published Standard rows needing no input</t>
  </si>
  <si>
    <t>Rows remaining for manual next-fastest input</t>
  </si>
  <si>
    <t>Record Key</t>
  </si>
  <si>
    <t>Course</t>
  </si>
  <si>
    <t>Sex</t>
  </si>
  <si>
    <t>Age</t>
  </si>
  <si>
    <t>Event</t>
  </si>
  <si>
    <t>Record Holder(s)</t>
  </si>
  <si>
    <t>Record Time</t>
  </si>
  <si>
    <t>Record Date(s)</t>
  </si>
  <si>
    <t>Record Basis</t>
  </si>
  <si>
    <t>Record Source URL</t>
  </si>
  <si>
    <t>Joint Record?</t>
  </si>
  <si>
    <t>Top 20 Eligible?</t>
  </si>
  <si>
    <t>Next Fastest Swimmer</t>
  </si>
  <si>
    <t>Next Fastest Time</t>
  </si>
  <si>
    <t>Next Fastest Date</t>
  </si>
  <si>
    <t>Next Fastest Source / Notes</t>
  </si>
  <si>
    <t>Margin %</t>
  </si>
  <si>
    <t>Review Notes</t>
  </si>
  <si>
    <t>Record Seconds</t>
  </si>
  <si>
    <t>Next Fastest Seconds</t>
  </si>
  <si>
    <t>NZ|SCM|M|13|50 Free</t>
  </si>
  <si>
    <t>SCM</t>
  </si>
  <si>
    <t>Male</t>
  </si>
  <si>
    <t>50 Free</t>
  </si>
  <si>
    <t>Grayson Coulter</t>
  </si>
  <si>
    <t>23.61</t>
  </si>
  <si>
    <t>25.09.25</t>
  </si>
  <si>
    <t>Swimming New Zealand Short Course Records by Age - user-supplied PDF</t>
  </si>
  <si>
    <t>NO</t>
  </si>
  <si>
    <t>YES</t>
  </si>
  <si>
    <t>24.21</t>
  </si>
  <si>
    <t>Next-fastest time supplied in user workbook; swimmer name not yet supplied.</t>
  </si>
  <si>
    <t>NZ|SCM|M|13|100 Free</t>
  </si>
  <si>
    <t>100 Free</t>
  </si>
  <si>
    <t>50.58</t>
  </si>
  <si>
    <t>22.09.25</t>
  </si>
  <si>
    <t>NZ|SCM|M|13|200 Free</t>
  </si>
  <si>
    <t>200 Free</t>
  </si>
  <si>
    <t>1:49.18</t>
  </si>
  <si>
    <t>24.09.25</t>
  </si>
  <si>
    <t>1:57.71</t>
  </si>
  <si>
    <t>NZ|SCM|M|13|400 Free</t>
  </si>
  <si>
    <t>400 Free</t>
  </si>
  <si>
    <t>3:56.78</t>
  </si>
  <si>
    <t>24.07.25</t>
  </si>
  <si>
    <t>4:09.27</t>
  </si>
  <si>
    <t>NZ|SCM|M|13|800 Free</t>
  </si>
  <si>
    <t>800 Free</t>
  </si>
  <si>
    <t>Michael Mincham</t>
  </si>
  <si>
    <t>8:30.77</t>
  </si>
  <si>
    <t>29.05.10</t>
  </si>
  <si>
    <t>8:41.93</t>
  </si>
  <si>
    <t>NZ|SCM|M|13|1500 Free</t>
  </si>
  <si>
    <t>1500 Free</t>
  </si>
  <si>
    <t>Thomas Heaton</t>
  </si>
  <si>
    <t>16:27.41</t>
  </si>
  <si>
    <t>04.10.12</t>
  </si>
  <si>
    <t>16:33.56</t>
  </si>
  <si>
    <t>NZ|SCM|M|13|50 Back</t>
  </si>
  <si>
    <t>50 Back</t>
  </si>
  <si>
    <t>Kase Glintmeyer</t>
  </si>
  <si>
    <t>27.35</t>
  </si>
  <si>
    <t>23.08.24</t>
  </si>
  <si>
    <t>27.85</t>
  </si>
  <si>
    <t>NZ|SCM|M|13|100 Back</t>
  </si>
  <si>
    <t>100 Back</t>
  </si>
  <si>
    <t>58.20</t>
  </si>
  <si>
    <t>25.07.25</t>
  </si>
  <si>
    <t>59.33</t>
  </si>
  <si>
    <t>NZ|SCM|M|13|200 Back</t>
  </si>
  <si>
    <t>200 Back</t>
  </si>
  <si>
    <t>Ariel Muchirahondo</t>
  </si>
  <si>
    <t>2:06.33</t>
  </si>
  <si>
    <t>22.10.22</t>
  </si>
  <si>
    <t>2:08.16</t>
  </si>
  <si>
    <t>NZ|SCM|M|13|50 Breast</t>
  </si>
  <si>
    <t>50 Breast</t>
  </si>
  <si>
    <t>Cameron Karpik</t>
  </si>
  <si>
    <t>30.35</t>
  </si>
  <si>
    <t>25.08.22</t>
  </si>
  <si>
    <t>30.68</t>
  </si>
  <si>
    <t>NZ|SCM|M|13|100 Breast</t>
  </si>
  <si>
    <t>100 Breast</t>
  </si>
  <si>
    <t>1:06.33</t>
  </si>
  <si>
    <t>26.08.22</t>
  </si>
  <si>
    <t>1:06.77</t>
  </si>
  <si>
    <t>NZ|SCM|M|13|200 Breast</t>
  </si>
  <si>
    <t>200 Breast</t>
  </si>
  <si>
    <t>Erik Kahr</t>
  </si>
  <si>
    <t>2:22.10</t>
  </si>
  <si>
    <t>29.09.09</t>
  </si>
  <si>
    <t>2:24.15</t>
  </si>
  <si>
    <t>NZ|SCM|M|13|50 Fly</t>
  </si>
  <si>
    <t>50 Fly</t>
  </si>
  <si>
    <t>25.64</t>
  </si>
  <si>
    <t>26.42</t>
  </si>
  <si>
    <t>NZ|SCM|M|13|100 Fly</t>
  </si>
  <si>
    <t>100 Fly</t>
  </si>
  <si>
    <t>56.90</t>
  </si>
  <si>
    <t>26.07.25</t>
  </si>
  <si>
    <t>58.99</t>
  </si>
  <si>
    <t>NZ|SCM|M|13|200 Fly</t>
  </si>
  <si>
    <t>200 Fly</t>
  </si>
  <si>
    <t>Mitchell Donaldson</t>
  </si>
  <si>
    <t>2:10.81</t>
  </si>
  <si>
    <t>27.09.06</t>
  </si>
  <si>
    <t>2:11.88</t>
  </si>
  <si>
    <t>NZ|SCM|M|13|100 IM</t>
  </si>
  <si>
    <t>100 IM</t>
  </si>
  <si>
    <t>58.42</t>
  </si>
  <si>
    <t>21.09.25</t>
  </si>
  <si>
    <t>1:01.46</t>
  </si>
  <si>
    <t>NZ|SCM|M|13|200 IM</t>
  </si>
  <si>
    <t>200 IM</t>
  </si>
  <si>
    <t>2:05.15</t>
  </si>
  <si>
    <t>2:12.85</t>
  </si>
  <si>
    <t>NZ|SCM|M|13|400 IM</t>
  </si>
  <si>
    <t>400 IM</t>
  </si>
  <si>
    <t>4:35.84</t>
  </si>
  <si>
    <t>25.09.06</t>
  </si>
  <si>
    <t>4:40.81</t>
  </si>
  <si>
    <t>NZ|SCM|M|14|50 Free</t>
  </si>
  <si>
    <t>23.11</t>
  </si>
  <si>
    <t>01.10.26</t>
  </si>
  <si>
    <t>Updated through 2026 NZ Short Course Championships</t>
  </si>
  <si>
    <t>https://swimdadnz.github.io/NZSC_2026/NZSC_2026_meet_editorial_summary_final.html</t>
  </si>
  <si>
    <t>23.55</t>
  </si>
  <si>
    <t>NZSC 2026: same swimmer improved own record; next-fastest different-swimmer time retained from supplied dataset.</t>
  </si>
  <si>
    <t>NZ|SCM|M|14|100 Free</t>
  </si>
  <si>
    <t>50.06</t>
  </si>
  <si>
    <t>51.42</t>
  </si>
  <si>
    <t>NZ|SCM|M|14|200 Free</t>
  </si>
  <si>
    <t>1:48.13</t>
  </si>
  <si>
    <t>30.09.26</t>
  </si>
  <si>
    <t>1:52.58</t>
  </si>
  <si>
    <t>NZ|SCM|M|14|400 Free</t>
  </si>
  <si>
    <t>Leo English</t>
  </si>
  <si>
    <t>3:57.62</t>
  </si>
  <si>
    <t>25.02.24</t>
  </si>
  <si>
    <t>3:59.92</t>
  </si>
  <si>
    <t>NZ|SCM|M|14|800 Free</t>
  </si>
  <si>
    <t>Cameron Burrows</t>
  </si>
  <si>
    <t>8:19.31</t>
  </si>
  <si>
    <t>10.06.06</t>
  </si>
  <si>
    <t>8:21.35</t>
  </si>
  <si>
    <t>NZ|SCM|M|14|1500 Free</t>
  </si>
  <si>
    <t>15:38.51</t>
  </si>
  <si>
    <t>13.11.10</t>
  </si>
  <si>
    <t>15:47.26</t>
  </si>
  <si>
    <t>NZ|SCM|M|14|50 Back</t>
  </si>
  <si>
    <t>Donald Tian</t>
  </si>
  <si>
    <t>26.20</t>
  </si>
  <si>
    <t>26.44</t>
  </si>
  <si>
    <t>NZ|SCM|M|14|100 Back</t>
  </si>
  <si>
    <t>Corey Main</t>
  </si>
  <si>
    <t>56.48</t>
  </si>
  <si>
    <t>27.09.09</t>
  </si>
  <si>
    <t>56.57</t>
  </si>
  <si>
    <t>NZ|SCM|M|14|200 Back</t>
  </si>
  <si>
    <t>2:00.71</t>
  </si>
  <si>
    <t>28.09.09</t>
  </si>
  <si>
    <t>2:03.18</t>
  </si>
  <si>
    <t>NZ|SCM|M|14|50 Breast</t>
  </si>
  <si>
    <t>Jeffrey Arona-Tuifana'e</t>
  </si>
  <si>
    <t>29.54</t>
  </si>
  <si>
    <t>06.07.09</t>
  </si>
  <si>
    <t>29.60</t>
  </si>
  <si>
    <t>NZ|SCM|M|14|100 Breast</t>
  </si>
  <si>
    <t>1:04.11</t>
  </si>
  <si>
    <t>11.08.23</t>
  </si>
  <si>
    <t>1:04.92</t>
  </si>
  <si>
    <t>NZ|SCM|M|14|200 Breast</t>
  </si>
  <si>
    <t>2:20.58</t>
  </si>
  <si>
    <t>08.08.23</t>
  </si>
  <si>
    <t>2:20.67</t>
  </si>
  <si>
    <t>NZ|SCM|M|14|50 Fly</t>
  </si>
  <si>
    <t>25.06</t>
  </si>
  <si>
    <t>28.09.26</t>
  </si>
  <si>
    <t>Kento Wangford</t>
  </si>
  <si>
    <t>25.60</t>
  </si>
  <si>
    <t>Auto-set from displaced NZ record after NZSC 2026.</t>
  </si>
  <si>
    <t>NZSC 2026 update: Kento Wangford 25.60 became next-fastest.</t>
  </si>
  <si>
    <t>NZ|SCM|M|14|100 Fly</t>
  </si>
  <si>
    <t>54.92</t>
  </si>
  <si>
    <t>29.09.26</t>
  </si>
  <si>
    <t>Jacob Humphries</t>
  </si>
  <si>
    <t>57.22</t>
  </si>
  <si>
    <t>NZSC 2026 update: Jacob Humphries 57.22 became next-fastest.</t>
  </si>
  <si>
    <t>NZ|SCM|M|14|200 Fly</t>
  </si>
  <si>
    <t>2:03.00</t>
  </si>
  <si>
    <t>31.07.26</t>
  </si>
  <si>
    <t>2:05.29</t>
  </si>
  <si>
    <t>NZ|SCM|M|14|100 IM</t>
  </si>
  <si>
    <t>57.72</t>
  </si>
  <si>
    <t>27.09.26</t>
  </si>
  <si>
    <t>Kevin Zhang</t>
  </si>
  <si>
    <t>58.70</t>
  </si>
  <si>
    <t>NZSC 2026 update: Kevin Zhang 58.70 became next-fastest.</t>
  </si>
  <si>
    <t>NZ|SCM|M|14|200 IM</t>
  </si>
  <si>
    <t>2:07.42</t>
  </si>
  <si>
    <t>12.08.23</t>
  </si>
  <si>
    <t>2:08.37</t>
  </si>
  <si>
    <t>NZ|SCM|M|14|400 IM</t>
  </si>
  <si>
    <t>4:28.23</t>
  </si>
  <si>
    <t>10.08.23</t>
  </si>
  <si>
    <t>4:30.48</t>
  </si>
  <si>
    <t>NZ|SCM|M|15|50 Free</t>
  </si>
  <si>
    <t>Charlie Dickison</t>
  </si>
  <si>
    <t>22.77</t>
  </si>
  <si>
    <t>23.15</t>
  </si>
  <si>
    <t>NZ|SCM|M|15|100 Free</t>
  </si>
  <si>
    <t>49.98</t>
  </si>
  <si>
    <t>50.29</t>
  </si>
  <si>
    <t>NZ|SCM|M|15|200 Free</t>
  </si>
  <si>
    <t>1:50.08</t>
  </si>
  <si>
    <t>01.08.26</t>
  </si>
  <si>
    <t>1:50.39</t>
  </si>
  <si>
    <t>NZ|SCM|M|15|400 Free</t>
  </si>
  <si>
    <t>Matthew Hutchins</t>
  </si>
  <si>
    <t>3:54.19</t>
  </si>
  <si>
    <t>05.07.10</t>
  </si>
  <si>
    <t>3:55.42</t>
  </si>
  <si>
    <t>NZ|SCM|M|15|800 Free</t>
  </si>
  <si>
    <t>William Tye</t>
  </si>
  <si>
    <t>8:07.90</t>
  </si>
  <si>
    <t>8:10.40</t>
  </si>
  <si>
    <t>NZSC 2026 update: Cameron Burrows 8:10.40 became next-fastest.</t>
  </si>
  <si>
    <t>NZ|SCM|M|15|1500 Free</t>
  </si>
  <si>
    <t>15:26.42</t>
  </si>
  <si>
    <t>15:34.56</t>
  </si>
  <si>
    <t>NZSC 2026 update: Michael Mincham 15:34.56 became next-fastest.</t>
  </si>
  <si>
    <t>NZ|SCM|M|15|50 Back</t>
  </si>
  <si>
    <t>Cameron Gray</t>
  </si>
  <si>
    <t>25.33</t>
  </si>
  <si>
    <t>28.07.19</t>
  </si>
  <si>
    <t>25.67</t>
  </si>
  <si>
    <t>NZ|SCM|M|15|100 Back</t>
  </si>
  <si>
    <t>54.74</t>
  </si>
  <si>
    <t>54.91</t>
  </si>
  <si>
    <t>NZ|SCM|M|15|200 Back</t>
  </si>
  <si>
    <t>1:57.69</t>
  </si>
  <si>
    <t>1:58.58</t>
  </si>
  <si>
    <t>NZ|SCM|M|15|50 Breast</t>
  </si>
  <si>
    <t>28.72</t>
  </si>
  <si>
    <t>06.07.10</t>
  </si>
  <si>
    <t>28.94</t>
  </si>
  <si>
    <t>NZ|SCM|M|15|100 Breast</t>
  </si>
  <si>
    <t>1:01.86</t>
  </si>
  <si>
    <t>07.08.11</t>
  </si>
  <si>
    <t>1:02.23</t>
  </si>
  <si>
    <t>NZ|SCM|M|15|200 Breast</t>
  </si>
  <si>
    <t>Jacob Story</t>
  </si>
  <si>
    <t>2:14.31</t>
  </si>
  <si>
    <t>2:14.60</t>
  </si>
  <si>
    <t>NZ|SCM|M|15|50 Fly</t>
  </si>
  <si>
    <t>24.84</t>
  </si>
  <si>
    <t>09.08.23</t>
  </si>
  <si>
    <t>25.10</t>
  </si>
  <si>
    <t>NZ|SCM|M|15|100 Fly</t>
  </si>
  <si>
    <t>Michael Chen</t>
  </si>
  <si>
    <t>54.70</t>
  </si>
  <si>
    <t>55.75</t>
  </si>
  <si>
    <t>NZ|SCM|M|15|200 Fly</t>
  </si>
  <si>
    <t>1:58.61</t>
  </si>
  <si>
    <t>2:03.08</t>
  </si>
  <si>
    <t>NZ|SCM|M|15|100 IM</t>
  </si>
  <si>
    <t>56.33</t>
  </si>
  <si>
    <t>57.34</t>
  </si>
  <si>
    <t>NZ|SCM|M|15|200 IM</t>
  </si>
  <si>
    <t>2:02.86</t>
  </si>
  <si>
    <t>2:03.83</t>
  </si>
  <si>
    <t>NZ|SCM|M|15|400 IM</t>
  </si>
  <si>
    <t>Anthony van der Kraay</t>
  </si>
  <si>
    <t>4:19.83</t>
  </si>
  <si>
    <t>19.09.96</t>
  </si>
  <si>
    <t>4:20.24</t>
  </si>
  <si>
    <t>NZ|SCM|M|16|50 Free</t>
  </si>
  <si>
    <t>Michael Pickett</t>
  </si>
  <si>
    <t>22.31</t>
  </si>
  <si>
    <t>17.08.18</t>
  </si>
  <si>
    <t>22.53</t>
  </si>
  <si>
    <t>NZ|SCM|M|16|100 Free</t>
  </si>
  <si>
    <t>Sam McKenzie</t>
  </si>
  <si>
    <t>49.70</t>
  </si>
  <si>
    <t>26.09.15</t>
  </si>
  <si>
    <t>49.71</t>
  </si>
  <si>
    <t>NZ|SCM|M|16|200 Free</t>
  </si>
  <si>
    <t>1:47.09</t>
  </si>
  <si>
    <t>30.01.26</t>
  </si>
  <si>
    <t>1:48.53</t>
  </si>
  <si>
    <t>NZ|SCM|M|16|400 Free</t>
  </si>
  <si>
    <t>Danyon Loader</t>
  </si>
  <si>
    <t>3:43.64</t>
  </si>
  <si>
    <t>01.02.92</t>
  </si>
  <si>
    <t>3:48.92</t>
  </si>
  <si>
    <t>NZ|SCM|M|16|800 Free</t>
  </si>
  <si>
    <t>7:57.08</t>
  </si>
  <si>
    <t>02.02.92</t>
  </si>
  <si>
    <t>8:06.80</t>
  </si>
  <si>
    <t>NZ|SCM|M|16|1500 Free</t>
  </si>
  <si>
    <t>14:54.38</t>
  </si>
  <si>
    <t>15:17.91</t>
  </si>
  <si>
    <t>NZ|SCM|M|16|50 Back</t>
  </si>
  <si>
    <t>Bruce Shen</t>
  </si>
  <si>
    <t>24.47</t>
  </si>
  <si>
    <t>25.05</t>
  </si>
  <si>
    <t>NZ|SCM|M|16|100 Back</t>
  </si>
  <si>
    <t>53.53</t>
  </si>
  <si>
    <t>11.09.11</t>
  </si>
  <si>
    <t>53.93</t>
  </si>
  <si>
    <t>NZ|SCM|M|16|200 Back</t>
  </si>
  <si>
    <t>1:55.38</t>
  </si>
  <si>
    <t>1:55.44</t>
  </si>
  <si>
    <t>NZ|SCM|M|16|50 Breast</t>
  </si>
  <si>
    <t>Connor Jenkins</t>
  </si>
  <si>
    <t>27.90</t>
  </si>
  <si>
    <t>13.09.26</t>
  </si>
  <si>
    <t>28.64</t>
  </si>
  <si>
    <t>NZ|SCM|M|16|100 Breast</t>
  </si>
  <si>
    <t>Ben Walsh</t>
  </si>
  <si>
    <t>1:01.05</t>
  </si>
  <si>
    <t>29.09.13</t>
  </si>
  <si>
    <t>1:02.22</t>
  </si>
  <si>
    <t>NZ|SCM|M|16|200 Breast</t>
  </si>
  <si>
    <t>2:11.39</t>
  </si>
  <si>
    <t>01.10.13</t>
  </si>
  <si>
    <t>2:12.88</t>
  </si>
  <si>
    <t>NZ|SCM|M|16|50 Fly</t>
  </si>
  <si>
    <t>Ben Littlejohn</t>
  </si>
  <si>
    <t>24.36</t>
  </si>
  <si>
    <t>02.04.19</t>
  </si>
  <si>
    <t>24.70</t>
  </si>
  <si>
    <t>NZ|SCM|M|16|100 Fly</t>
  </si>
  <si>
    <t>53.76</t>
  </si>
  <si>
    <t>31.01.26</t>
  </si>
  <si>
    <t>53.96</t>
  </si>
  <si>
    <t>NZ|SCM|M|16|200 Fly</t>
  </si>
  <si>
    <t>1:56.39</t>
  </si>
  <si>
    <t>01.02.26</t>
  </si>
  <si>
    <t>1:59.19</t>
  </si>
  <si>
    <t>NZ|SCM|M|16|100 IM</t>
  </si>
  <si>
    <t>56.28</t>
  </si>
  <si>
    <t>56.31</t>
  </si>
  <si>
    <t>NZ|SCM|M|16|200 IM</t>
  </si>
  <si>
    <t>1:59.03</t>
  </si>
  <si>
    <t>27.07.25</t>
  </si>
  <si>
    <t>2:00.66</t>
  </si>
  <si>
    <t>NZ|SCM|M|16|400 IM</t>
  </si>
  <si>
    <t>Samuel Brown</t>
  </si>
  <si>
    <t>4:14.87</t>
  </si>
  <si>
    <t>07.10.20</t>
  </si>
  <si>
    <t>4:17.94</t>
  </si>
  <si>
    <t>NZ|SCM|M|17|50 Free</t>
  </si>
  <si>
    <t>Rui Hou</t>
  </si>
  <si>
    <t>22.17</t>
  </si>
  <si>
    <t>02.08.26</t>
  </si>
  <si>
    <t>22.33</t>
  </si>
  <si>
    <t>NZ|SCM|M|17|100 Free</t>
  </si>
  <si>
    <t>48.74</t>
  </si>
  <si>
    <t>48.97</t>
  </si>
  <si>
    <t>NZ|SCM|M|17|200 Free</t>
  </si>
  <si>
    <t>1:46.63</t>
  </si>
  <si>
    <t>06.01.93</t>
  </si>
  <si>
    <t>1:47.40</t>
  </si>
  <si>
    <t>NZ|SCM|M|17|400 Free</t>
  </si>
  <si>
    <t>Zac Reid</t>
  </si>
  <si>
    <t>3:46.11</t>
  </si>
  <si>
    <t>05.10.17</t>
  </si>
  <si>
    <t>3:48.44</t>
  </si>
  <si>
    <t>NZ|SCM|M|17|800 Free</t>
  </si>
  <si>
    <t>7:54.53</t>
  </si>
  <si>
    <t>11.08.17</t>
  </si>
  <si>
    <t>7:55.74</t>
  </si>
  <si>
    <t>NZ|SCM|M|17|1500 Free</t>
  </si>
  <si>
    <t>Dylan Dunlop-Barrett</t>
  </si>
  <si>
    <t>15:07.95</t>
  </si>
  <si>
    <t>13.12.07</t>
  </si>
  <si>
    <t>15:10.72</t>
  </si>
  <si>
    <t>NZ|SCM|M|17|50 Back</t>
  </si>
  <si>
    <t>24.44</t>
  </si>
  <si>
    <t>24.07.21</t>
  </si>
  <si>
    <t>24.61</t>
  </si>
  <si>
    <t>NZ|SCM|M|17|100 Back</t>
  </si>
  <si>
    <t>Daniel Bell</t>
  </si>
  <si>
    <t>51.84</t>
  </si>
  <si>
    <t>13.04.08</t>
  </si>
  <si>
    <t>52.45</t>
  </si>
  <si>
    <t>NZ|SCM|M|17|200 Back</t>
  </si>
  <si>
    <t>1:54.39</t>
  </si>
  <si>
    <t>1:55.95</t>
  </si>
  <si>
    <t>NZ|SCM|M|17|50 Breast</t>
  </si>
  <si>
    <t>Roman Anderson</t>
  </si>
  <si>
    <t>27.14</t>
  </si>
  <si>
    <t>NZ|SCM|M|17|100 Breast</t>
  </si>
  <si>
    <t>1:00.01</t>
  </si>
  <si>
    <t>1:00.77</t>
  </si>
  <si>
    <t>NZSC 2026 update: Erik Kahr 1:00.77 became next-fastest.</t>
  </si>
  <si>
    <t>NZ|SCM|M|17|200 Breast</t>
  </si>
  <si>
    <t>Jackson Kennard</t>
  </si>
  <si>
    <t>2:13.09</t>
  </si>
  <si>
    <t>NZ|SCM|M|17|50 Fly</t>
  </si>
  <si>
    <t>23.91</t>
  </si>
  <si>
    <t>04.10.19</t>
  </si>
  <si>
    <t>24.08</t>
  </si>
  <si>
    <t>NZ|SCM|M|17|100 Fly</t>
  </si>
  <si>
    <t>52.78</t>
  </si>
  <si>
    <t>07.02.93</t>
  </si>
  <si>
    <t>53.13</t>
  </si>
  <si>
    <t>NZ|SCM|M|17|200 Fly</t>
  </si>
  <si>
    <t>1:54.21</t>
  </si>
  <si>
    <t>13.02.93</t>
  </si>
  <si>
    <t>1:58.50</t>
  </si>
  <si>
    <t>NZ|SCM|M|17|100 IM</t>
  </si>
  <si>
    <t>54.61</t>
  </si>
  <si>
    <t>12.04.08</t>
  </si>
  <si>
    <t>55.37</t>
  </si>
  <si>
    <t>NZ|SCM|M|17|200 IM</t>
  </si>
  <si>
    <t>1:58.52</t>
  </si>
  <si>
    <t>24.08.24</t>
  </si>
  <si>
    <t>1:58.70</t>
  </si>
  <si>
    <t>NZ|SCM|M|17|400 IM</t>
  </si>
  <si>
    <t>Bradlee Ashby</t>
  </si>
  <si>
    <t>4:14.15</t>
  </si>
  <si>
    <t>30.09.13</t>
  </si>
  <si>
    <t>4:17.65</t>
  </si>
  <si>
    <t>NZ|SCM|M|18|50 Free</t>
  </si>
  <si>
    <t>Igor Russanov</t>
  </si>
  <si>
    <t>22.13</t>
  </si>
  <si>
    <t>22.24</t>
  </si>
  <si>
    <t>NZ|SCM|M|18|100 Free</t>
  </si>
  <si>
    <t>Fraser Walker</t>
  </si>
  <si>
    <t>48.17</t>
  </si>
  <si>
    <t>48.61</t>
  </si>
  <si>
    <t>NZSC 2026 update: Michael Pickett 48.61 became next-fastest.</t>
  </si>
  <si>
    <t>NZ|SCM|M|18|200 Free</t>
  </si>
  <si>
    <t>1:45.25</t>
  </si>
  <si>
    <t>Matthew Huchins</t>
  </si>
  <si>
    <t>1:46.47</t>
  </si>
  <si>
    <t>NZSC 2026 update: Matthew Huchins 1:46.47 became next-fastest.</t>
  </si>
  <si>
    <t>NZ|SCM|M|18|400 Free</t>
  </si>
  <si>
    <t>Standard</t>
  </si>
  <si>
    <t>3:42.70</t>
  </si>
  <si>
    <t>NO - Standard</t>
  </si>
  <si>
    <t>3:45.65</t>
  </si>
  <si>
    <t>User-supplied next-fastest time; Standard has no swimmer record holder.</t>
  </si>
  <si>
    <t>Excluded from record-holder rankings. Margin retained for reference only.</t>
  </si>
  <si>
    <t>NZ|SCM|M|18|800 Free</t>
  </si>
  <si>
    <t>7:44.53</t>
  </si>
  <si>
    <t>03.08.18</t>
  </si>
  <si>
    <t>7:57.76</t>
  </si>
  <si>
    <t>NZ|SCM|M|18|1500 Free</t>
  </si>
  <si>
    <t>15:02.32</t>
  </si>
  <si>
    <t>NZ|SCM|M|18|50 Back</t>
  </si>
  <si>
    <t>Cooper Morley</t>
  </si>
  <si>
    <t>23.90</t>
  </si>
  <si>
    <t>24.62</t>
  </si>
  <si>
    <t>NZ|SCM|M|18|100 Back</t>
  </si>
  <si>
    <t>51.62</t>
  </si>
  <si>
    <t>23.08.22</t>
  </si>
  <si>
    <t>52.30</t>
  </si>
  <si>
    <t>NZ|SCM|M|18|200 Back</t>
  </si>
  <si>
    <t>Sam Brown</t>
  </si>
  <si>
    <t>1:54.61</t>
  </si>
  <si>
    <t>1:55.05</t>
  </si>
  <si>
    <t>NZ|SCM|M|18|50 Breast</t>
  </si>
  <si>
    <t>27.68</t>
  </si>
  <si>
    <t>03.10.12</t>
  </si>
  <si>
    <t>28.12</t>
  </si>
  <si>
    <t>NZ|SCM|M|18|100 Breast</t>
  </si>
  <si>
    <t>1:00.49</t>
  </si>
  <si>
    <t>30.09.12</t>
  </si>
  <si>
    <t>1:00.99</t>
  </si>
  <si>
    <t>NZ|SCM|M|18|200 Breast</t>
  </si>
  <si>
    <t>Luan Grobbelaar</t>
  </si>
  <si>
    <t>2:11.17</t>
  </si>
  <si>
    <t>08.10.20</t>
  </si>
  <si>
    <t>2:11.19</t>
  </si>
  <si>
    <t>NZ|SCM|M|18|50 Fly</t>
  </si>
  <si>
    <t>23.36</t>
  </si>
  <si>
    <t>12.12.08</t>
  </si>
  <si>
    <t>23.81</t>
  </si>
  <si>
    <t>NZ|SCM|M|18|100 Fly</t>
  </si>
  <si>
    <t>Corney Swanepoel</t>
  </si>
  <si>
    <t>51.67</t>
  </si>
  <si>
    <t>28.11.04</t>
  </si>
  <si>
    <t>51.75</t>
  </si>
  <si>
    <t>NZ|SCM|M|18|200 Fly</t>
  </si>
  <si>
    <t>1:56.73</t>
  </si>
  <si>
    <t>NZ|SCM|M|18|100 IM</t>
  </si>
  <si>
    <t>54.20</t>
  </si>
  <si>
    <t>11.12.08</t>
  </si>
  <si>
    <t>55.05</t>
  </si>
  <si>
    <t>NZ|SCM|M|18|200 IM</t>
  </si>
  <si>
    <t>1:57.84</t>
  </si>
  <si>
    <t>1:57.91</t>
  </si>
  <si>
    <t>NZ|SCM|M|18|400 IM</t>
  </si>
  <si>
    <t>4:11.85</t>
  </si>
  <si>
    <t>24.08.22</t>
  </si>
  <si>
    <t>4:16.12</t>
  </si>
  <si>
    <t>NZ|SCM|F|13|50 Free</t>
  </si>
  <si>
    <t>Female</t>
  </si>
  <si>
    <t>Gabrielle Fa'amausili</t>
  </si>
  <si>
    <t>26.16</t>
  </si>
  <si>
    <t>NZ|SCM|F|13|100 Free</t>
  </si>
  <si>
    <t>56.36</t>
  </si>
  <si>
    <t>57.36</t>
  </si>
  <si>
    <t>NZ|SCM|F|13|200 Free</t>
  </si>
  <si>
    <t>Erika Fairweather</t>
  </si>
  <si>
    <t>2:03.57</t>
  </si>
  <si>
    <t>03.10.17</t>
  </si>
  <si>
    <t>2:05.60</t>
  </si>
  <si>
    <t>NZ|SCM|F|13|400 Free</t>
  </si>
  <si>
    <t>4:22.52</t>
  </si>
  <si>
    <t>04.10.17</t>
  </si>
  <si>
    <t>4:23.40</t>
  </si>
  <si>
    <t>NZ|SCM|F|13|800 Free</t>
  </si>
  <si>
    <t>8:58.05</t>
  </si>
  <si>
    <t>06.10.17</t>
  </si>
  <si>
    <t>9:03.54</t>
  </si>
  <si>
    <t>NZ|SCM|F|13|1500 Free</t>
  </si>
  <si>
    <t>17:15.28</t>
  </si>
  <si>
    <t>06.08.17</t>
  </si>
  <si>
    <t>17:21.79</t>
  </si>
  <si>
    <t>NZ|SCM|F|13|50 Back</t>
  </si>
  <si>
    <t>27.93</t>
  </si>
  <si>
    <t>02.10.13</t>
  </si>
  <si>
    <t>28.48</t>
  </si>
  <si>
    <t>NZ|SCM|F|13|100 Back</t>
  </si>
  <si>
    <t>59.92</t>
  </si>
  <si>
    <t>1:02.17</t>
  </si>
  <si>
    <t>NZ|SCM|F|13|200 Back</t>
  </si>
  <si>
    <t>Bobbi Gichard</t>
  </si>
  <si>
    <t>2:13.15</t>
  </si>
  <si>
    <t>2:15.48</t>
  </si>
  <si>
    <t>NZ|SCM|F|13|50 Breast</t>
  </si>
  <si>
    <t>Mulan Chan See</t>
  </si>
  <si>
    <t>32.75</t>
  </si>
  <si>
    <t>32.93</t>
  </si>
  <si>
    <t>NZ|SCM|F|13|100 Breast</t>
  </si>
  <si>
    <t>April Lin</t>
  </si>
  <si>
    <t>1:11.16</t>
  </si>
  <si>
    <t>Natasha Lloyd</t>
  </si>
  <si>
    <t>1:11.52</t>
  </si>
  <si>
    <t>NZSC 2026 update: Natasha Lloyd 1:11.52 became next-fastest.</t>
  </si>
  <si>
    <t>NZ|SCM|F|13|200 Breast</t>
  </si>
  <si>
    <t>2:28.90</t>
  </si>
  <si>
    <t>Brearna Crawford</t>
  </si>
  <si>
    <t>2:32.93</t>
  </si>
  <si>
    <t>NZSC 2026 update: Brearna Crawford 2:32.93 became next-fastest.</t>
  </si>
  <si>
    <t>NZ|SCM|F|13|50 Fly</t>
  </si>
  <si>
    <t>Milan Glintmeyer</t>
  </si>
  <si>
    <t>27.89</t>
  </si>
  <si>
    <t>11.06.22</t>
  </si>
  <si>
    <t>28.37</t>
  </si>
  <si>
    <t>NZ|SCM|F|13|100 Fly</t>
  </si>
  <si>
    <t>1:02.02</t>
  </si>
  <si>
    <t>30.07.22</t>
  </si>
  <si>
    <t>1:02.96</t>
  </si>
  <si>
    <t>NZ|SCM|F|13|200 Fly</t>
  </si>
  <si>
    <t>Paige Schendelaar-Kemp</t>
  </si>
  <si>
    <t>2:17.80</t>
  </si>
  <si>
    <t>01.07.12</t>
  </si>
  <si>
    <t>2:18.28</t>
  </si>
  <si>
    <t>NZ|SCM|F|13|100 IM</t>
  </si>
  <si>
    <t>1:04.71</t>
  </si>
  <si>
    <t>1:05.08</t>
  </si>
  <si>
    <t>NZSC 2026 update: Milan Glintmeyer 1:05.08 became next-fastest.</t>
  </si>
  <si>
    <t>NZ|SCM|F|13|200 IM</t>
  </si>
  <si>
    <t>Mya Rasmussen</t>
  </si>
  <si>
    <t>2:20.37</t>
  </si>
  <si>
    <t>2:21.09</t>
  </si>
  <si>
    <t>NZ|SCM|F|13|400 IM</t>
  </si>
  <si>
    <t>4:55.18</t>
  </si>
  <si>
    <t>4:58.09</t>
  </si>
  <si>
    <t>NZ|SCM|F|14|50 Free</t>
  </si>
  <si>
    <t>25.08</t>
  </si>
  <si>
    <t>04.09.14</t>
  </si>
  <si>
    <t>25.78</t>
  </si>
  <si>
    <t>NZ|SCM|F|14|100 Free</t>
  </si>
  <si>
    <t>Laura Littlejohn</t>
  </si>
  <si>
    <t>55.80</t>
  </si>
  <si>
    <t>06.07.19</t>
  </si>
  <si>
    <t>56.05</t>
  </si>
  <si>
    <t>NZ|SCM|F|14|200 Free</t>
  </si>
  <si>
    <t>Sophia Batchelor</t>
  </si>
  <si>
    <t>2:01.94</t>
  </si>
  <si>
    <t>30.09.09</t>
  </si>
  <si>
    <t>2:02.00</t>
  </si>
  <si>
    <t>NZ|SCM|F|14|400 Free</t>
  </si>
  <si>
    <t>4:14.76</t>
  </si>
  <si>
    <t>11.08.18</t>
  </si>
  <si>
    <t>4:15.38</t>
  </si>
  <si>
    <t>NZ|SCM|F|14|800 Free</t>
  </si>
  <si>
    <t>Laura Baker</t>
  </si>
  <si>
    <t>8:46.24</t>
  </si>
  <si>
    <t>11.07.08</t>
  </si>
  <si>
    <t>8:54.70</t>
  </si>
  <si>
    <t>NZ|SCM|F|14|1500 Free</t>
  </si>
  <si>
    <t>Nicole Goldsmid</t>
  </si>
  <si>
    <t>17:05.16</t>
  </si>
  <si>
    <t>25.09.03</t>
  </si>
  <si>
    <t>17:08.01</t>
  </si>
  <si>
    <t>NZ|SCM|F|14|50 Back</t>
  </si>
  <si>
    <t>27.95</t>
  </si>
  <si>
    <t>06.09.14</t>
  </si>
  <si>
    <t>28.10</t>
  </si>
  <si>
    <t>NZ|SCM|F|14|100 Back</t>
  </si>
  <si>
    <t>59.73</t>
  </si>
  <si>
    <t>03.09.14</t>
  </si>
  <si>
    <t>1:00.32</t>
  </si>
  <si>
    <t>NZ|SCM|F|14|200 Back</t>
  </si>
  <si>
    <t>2:07.38</t>
  </si>
  <si>
    <t>05.09.14</t>
  </si>
  <si>
    <t>2:10.68</t>
  </si>
  <si>
    <t>NZ|SCM|F|14|50 Breast</t>
  </si>
  <si>
    <t>32.09</t>
  </si>
  <si>
    <t>14.11.10</t>
  </si>
  <si>
    <t>32.28</t>
  </si>
  <si>
    <t>NZ|SCM|F|14|100 Breast</t>
  </si>
  <si>
    <t>1:09.97</t>
  </si>
  <si>
    <t>09.07.10</t>
  </si>
  <si>
    <t>1:10.27</t>
  </si>
  <si>
    <t>NZ|SCM|F|14|200 Breast</t>
  </si>
  <si>
    <t>Jenna Borea</t>
  </si>
  <si>
    <t>2:29.83</t>
  </si>
  <si>
    <t>Melissa Cowen</t>
  </si>
  <si>
    <t>2:29.95</t>
  </si>
  <si>
    <t>NZSC 2026 update: Melissa Cowen 2:29.95 became next-fastest.</t>
  </si>
  <si>
    <t>NZ|SCM|F|14|50 Fly</t>
  </si>
  <si>
    <t>27.45</t>
  </si>
  <si>
    <t>27.61</t>
  </si>
  <si>
    <t>NZ|SCM|F|14|100 Fly</t>
  </si>
  <si>
    <t>1:00.88</t>
  </si>
  <si>
    <t>1:01.14</t>
  </si>
  <si>
    <t>NZ|SCM|F|14|200 Fly</t>
  </si>
  <si>
    <t>Elizabeth Brown</t>
  </si>
  <si>
    <t>2:16.16</t>
  </si>
  <si>
    <t>23.09.07</t>
  </si>
  <si>
    <t>2:16.52</t>
  </si>
  <si>
    <t>NZ|SCM|F|14|100 IM</t>
  </si>
  <si>
    <t>1:03.31</t>
  </si>
  <si>
    <t>1.08.14</t>
  </si>
  <si>
    <t>1:03.81</t>
  </si>
  <si>
    <t>NZ|SCM|F|14|200 IM</t>
  </si>
  <si>
    <t>2:16.15</t>
  </si>
  <si>
    <t>2:17.58</t>
  </si>
  <si>
    <t>NZ|SCM|F|14|400 IM</t>
  </si>
  <si>
    <t>4:49.05</t>
  </si>
  <si>
    <t>4:49.80</t>
  </si>
  <si>
    <t>NZ|SCM|F|15|50 Free</t>
  </si>
  <si>
    <t>24.83</t>
  </si>
  <si>
    <t>13.08.15</t>
  </si>
  <si>
    <t>NZ|SCM|F|15|100 Free</t>
  </si>
  <si>
    <t>55.14</t>
  </si>
  <si>
    <t>15.08.15</t>
  </si>
  <si>
    <t>55.35</t>
  </si>
  <si>
    <t>NZ|SCM|F|15|200 Free</t>
  </si>
  <si>
    <t>1:57.88</t>
  </si>
  <si>
    <t>17.11.19</t>
  </si>
  <si>
    <t>1:58.25</t>
  </si>
  <si>
    <t>NZ|SCM|F|15|400 Free</t>
  </si>
  <si>
    <t>Chloe Francis</t>
  </si>
  <si>
    <t>4:11.11</t>
  </si>
  <si>
    <t>4:14.24</t>
  </si>
  <si>
    <t>NZ|SCM|F|15|800 Free</t>
  </si>
  <si>
    <t>8:37.06</t>
  </si>
  <si>
    <t>25.07.09</t>
  </si>
  <si>
    <t>8:37.54</t>
  </si>
  <si>
    <t>NZ|SCM|F|15|1500 Free</t>
  </si>
  <si>
    <t>Olivia Emmett</t>
  </si>
  <si>
    <t>16:50.03</t>
  </si>
  <si>
    <t>09.03.24</t>
  </si>
  <si>
    <t>16:58.01</t>
  </si>
  <si>
    <t>NZ|SCM|F|15|50 Back</t>
  </si>
  <si>
    <t>27.04</t>
  </si>
  <si>
    <t>NZ|SCM|F|15|100 Back</t>
  </si>
  <si>
    <t>58.64</t>
  </si>
  <si>
    <t>12.08.15</t>
  </si>
  <si>
    <t>59.05</t>
  </si>
  <si>
    <t>NZ|SCM|F|15|200 Back</t>
  </si>
  <si>
    <t>2:05.52</t>
  </si>
  <si>
    <t>26.09.10</t>
  </si>
  <si>
    <t>2:12.04</t>
  </si>
  <si>
    <t>NZ|SCM|F|15|50 Breast</t>
  </si>
  <si>
    <t>Monique Wieruszowski</t>
  </si>
  <si>
    <t>30.97</t>
  </si>
  <si>
    <t>07.07.23</t>
  </si>
  <si>
    <t>31.37</t>
  </si>
  <si>
    <t>NZ|SCM|F|15|100 Breast</t>
  </si>
  <si>
    <t>1:06.72</t>
  </si>
  <si>
    <t>06.10.20</t>
  </si>
  <si>
    <t>1:08.76</t>
  </si>
  <si>
    <t>NZ|SCM|F|15|200 Breast</t>
  </si>
  <si>
    <t>2:23.47</t>
  </si>
  <si>
    <t>8.10.20</t>
  </si>
  <si>
    <t>2:27.37</t>
  </si>
  <si>
    <t>NZ|SCM|F|15|50 Fly</t>
  </si>
  <si>
    <t>26.86</t>
  </si>
  <si>
    <t>03.10.18</t>
  </si>
  <si>
    <t>27.09</t>
  </si>
  <si>
    <t>NZ|SCM|F|15|100 Fly</t>
  </si>
  <si>
    <t>59.20</t>
  </si>
  <si>
    <t>29.09.10</t>
  </si>
  <si>
    <t>1:00.41</t>
  </si>
  <si>
    <t>NZ|SCM|F|15|200 Fly</t>
  </si>
  <si>
    <t>Yeonsu Lee</t>
  </si>
  <si>
    <t>2:13.72</t>
  </si>
  <si>
    <t>2:15.16</t>
  </si>
  <si>
    <t>NZ|SCM|F|15|100 IM</t>
  </si>
  <si>
    <t>1:01.39</t>
  </si>
  <si>
    <t>1:02.89</t>
  </si>
  <si>
    <t>NZ|SCM|F|15|200 IM</t>
  </si>
  <si>
    <t>2:14.77</t>
  </si>
  <si>
    <t>30.09.10</t>
  </si>
  <si>
    <t>2:15.00</t>
  </si>
  <si>
    <t>NZ|SCM|F|15|400 IM</t>
  </si>
  <si>
    <t>4:46.99</t>
  </si>
  <si>
    <t>30.09.08</t>
  </si>
  <si>
    <t>4:48.47</t>
  </si>
  <si>
    <t>NZ|SCM|F|16|50 Free</t>
  </si>
  <si>
    <t>Gabrielle Fa'amausili / Laura Littlejohn</t>
  </si>
  <si>
    <t>24.85</t>
  </si>
  <si>
    <t>04.10.16 / 08.10.20</t>
  </si>
  <si>
    <t>NO - joint record</t>
  </si>
  <si>
    <t>Comparator is the other joint record holder at the same time.</t>
  </si>
  <si>
    <t>Joint record: margin fixed at 0.0% under the agreed methodology.</t>
  </si>
  <si>
    <t>NZ|SCM|F|16|100 Free</t>
  </si>
  <si>
    <t>53.92</t>
  </si>
  <si>
    <t>15.10.20</t>
  </si>
  <si>
    <t>54.28</t>
  </si>
  <si>
    <t>NZ|SCM|F|16|200 Free</t>
  </si>
  <si>
    <t>1:55.23</t>
  </si>
  <si>
    <t>09.10.20</t>
  </si>
  <si>
    <t>1:58.90</t>
  </si>
  <si>
    <t>NZ|SCM|F|16|400 Free</t>
  </si>
  <si>
    <t>4:02.62</t>
  </si>
  <si>
    <t>4:11.24</t>
  </si>
  <si>
    <t>NZ|SCM|F|16|800 Free</t>
  </si>
  <si>
    <t>8:25.61</t>
  </si>
  <si>
    <t>10.10.20</t>
  </si>
  <si>
    <t>8:39.77</t>
  </si>
  <si>
    <t>NZ|SCM|F|16|1500 Free</t>
  </si>
  <si>
    <t>Keira-Lee Allott</t>
  </si>
  <si>
    <t>16:33.67</t>
  </si>
  <si>
    <t>11.07.21</t>
  </si>
  <si>
    <t>16:48.46</t>
  </si>
  <si>
    <t>NZ|SCM|F|16|50 Back</t>
  </si>
  <si>
    <t>27.58</t>
  </si>
  <si>
    <t>27.71</t>
  </si>
  <si>
    <t>NZ|SCM|F|16|100 Back</t>
  </si>
  <si>
    <t>59.38</t>
  </si>
  <si>
    <t>59.54</t>
  </si>
  <si>
    <t>NZ|SCM|F|16|200 Back</t>
  </si>
  <si>
    <t>2:07.53</t>
  </si>
  <si>
    <t>09.08.11</t>
  </si>
  <si>
    <t>2:09.70</t>
  </si>
  <si>
    <t>NZ|SCM|F|16|50 Breast</t>
  </si>
  <si>
    <t>30.69</t>
  </si>
  <si>
    <t>30.90</t>
  </si>
  <si>
    <t>NZ|SCM|F|16|100 Breast</t>
  </si>
  <si>
    <t>1:07.14</t>
  </si>
  <si>
    <t>1:07.92</t>
  </si>
  <si>
    <t>NZ|SCM|F|16|200 Breast</t>
  </si>
  <si>
    <t>Ciara Smith</t>
  </si>
  <si>
    <t>2:25.82</t>
  </si>
  <si>
    <t>2:26.60</t>
  </si>
  <si>
    <t>NZ|SCM|F|16|50 Fly</t>
  </si>
  <si>
    <t>26.43</t>
  </si>
  <si>
    <t>01.10.19</t>
  </si>
  <si>
    <t>26.82</t>
  </si>
  <si>
    <t>NZ|SCM|F|16|100 Fly</t>
  </si>
  <si>
    <t>58.63</t>
  </si>
  <si>
    <t>59.46</t>
  </si>
  <si>
    <t>NZ|SCM|F|16|200 Fly</t>
  </si>
  <si>
    <t>Samantha Lee</t>
  </si>
  <si>
    <t>2:12.58</t>
  </si>
  <si>
    <t>28.09.08</t>
  </si>
  <si>
    <t>2:13.51</t>
  </si>
  <si>
    <t>NZ|SCM|F|16|100 IM</t>
  </si>
  <si>
    <t>1:01.04</t>
  </si>
  <si>
    <t>1:01.34</t>
  </si>
  <si>
    <t>NZ|SCM|F|16|200 IM</t>
  </si>
  <si>
    <t>03.07.21</t>
  </si>
  <si>
    <t>2:13.40</t>
  </si>
  <si>
    <t>NZ|SCM|F|16|400 IM</t>
  </si>
  <si>
    <t>4:39.95</t>
  </si>
  <si>
    <t>14.08.16</t>
  </si>
  <si>
    <t>4:47.62</t>
  </si>
  <si>
    <t>NZ|SCM|F|17|50 Free</t>
  </si>
  <si>
    <t>Zoe Pedersen</t>
  </si>
  <si>
    <t>24.80</t>
  </si>
  <si>
    <t>14.12.24</t>
  </si>
  <si>
    <t>24.87</t>
  </si>
  <si>
    <t>NZ|SCM|F|17|100 Free</t>
  </si>
  <si>
    <t>53.86</t>
  </si>
  <si>
    <t>11.12.24</t>
  </si>
  <si>
    <t>NZ|SCM|F|17|200 Free</t>
  </si>
  <si>
    <t>1:55.66</t>
  </si>
  <si>
    <t>04.07.21</t>
  </si>
  <si>
    <t>1:57.63</t>
  </si>
  <si>
    <t>NZ|SCM|F|17|400 Free</t>
  </si>
  <si>
    <t>4:02.01</t>
  </si>
  <si>
    <t>4:07.03</t>
  </si>
  <si>
    <t>NZ|SCM|F|17|800 Free</t>
  </si>
  <si>
    <t>Tabitha Baumann</t>
  </si>
  <si>
    <t>8:30.22</t>
  </si>
  <si>
    <t>01.10.12</t>
  </si>
  <si>
    <t>8:36.24</t>
  </si>
  <si>
    <t>NZ|SCM|F|17|1500 Free</t>
  </si>
  <si>
    <t>16:09.14</t>
  </si>
  <si>
    <t>02.09.12</t>
  </si>
  <si>
    <t>16:34.32</t>
  </si>
  <si>
    <t>NZ|SCM|F|17|50 Back</t>
  </si>
  <si>
    <t>27.43</t>
  </si>
  <si>
    <t>27.60</t>
  </si>
  <si>
    <t>NZ|SCM|F|17|100 Back</t>
  </si>
  <si>
    <t>57.92</t>
  </si>
  <si>
    <t>NZ|SCM|F|17|200 Back</t>
  </si>
  <si>
    <t>2:04.13</t>
  </si>
  <si>
    <t>02.10.12</t>
  </si>
  <si>
    <t>NZ|SCM|F|17|50 Breast</t>
  </si>
  <si>
    <t>30.44</t>
  </si>
  <si>
    <t>26.07.24</t>
  </si>
  <si>
    <t>31.31</t>
  </si>
  <si>
    <t>NZ|SCM|F|17|100 Breast</t>
  </si>
  <si>
    <t>1:06.60</t>
  </si>
  <si>
    <t>NZ|SCM|F|17|200 Breast</t>
  </si>
  <si>
    <t>2:25.17</t>
  </si>
  <si>
    <t>04.10.18</t>
  </si>
  <si>
    <t>2:25.29</t>
  </si>
  <si>
    <t>NZ|SCM|F|17|50 Fly</t>
  </si>
  <si>
    <t>26.53</t>
  </si>
  <si>
    <t>11.12.21</t>
  </si>
  <si>
    <t>NZ|SCM|F|17|100 Fly</t>
  </si>
  <si>
    <t>58.24</t>
  </si>
  <si>
    <t>59.02</t>
  </si>
  <si>
    <t>NZ|SCM|F|17|200 Fly</t>
  </si>
  <si>
    <t>2:11.49</t>
  </si>
  <si>
    <t>2:11.81</t>
  </si>
  <si>
    <t>NZ|SCM|F|17|100 IM</t>
  </si>
  <si>
    <t>1:00.43</t>
  </si>
  <si>
    <t>18.12.21</t>
  </si>
  <si>
    <t>1:02.04</t>
  </si>
  <si>
    <t>NZ|SCM|F|17|200 IM</t>
  </si>
  <si>
    <t>2:10.61</t>
  </si>
  <si>
    <t>2:12.77</t>
  </si>
  <si>
    <t>NZ|SCM|F|17|400 IM</t>
  </si>
  <si>
    <t>Anna Wilson</t>
  </si>
  <si>
    <t>4:36.84</t>
  </si>
  <si>
    <t>15.02.95</t>
  </si>
  <si>
    <t>4:40.76</t>
  </si>
  <si>
    <t>NZ|SCM|F|18|50 Free</t>
  </si>
  <si>
    <t>24.99</t>
  </si>
  <si>
    <t>NZ|SCM|F|18|100 Free</t>
  </si>
  <si>
    <t>53.68</t>
  </si>
  <si>
    <t>53.85</t>
  </si>
  <si>
    <t>NZ|SCM|F|18|200 Free</t>
  </si>
  <si>
    <t>1:54.24</t>
  </si>
  <si>
    <t>14.12.22</t>
  </si>
  <si>
    <t>1:57.05</t>
  </si>
  <si>
    <t>NZ|SCM|F|18|400 Free</t>
  </si>
  <si>
    <t>3:56.00</t>
  </si>
  <si>
    <t>13.12.22</t>
  </si>
  <si>
    <t>4:07.51</t>
  </si>
  <si>
    <t>NZ|SCM|F|18|800 Free</t>
  </si>
  <si>
    <t>8:18.63</t>
  </si>
  <si>
    <t>27.08.22</t>
  </si>
  <si>
    <t>8:26.20</t>
  </si>
  <si>
    <t>NZ|SCM|F|18|1500 Free</t>
  </si>
  <si>
    <t>Caitlin Deans</t>
  </si>
  <si>
    <t>16:25.17</t>
  </si>
  <si>
    <t>06.10.18</t>
  </si>
  <si>
    <t>16:31.23</t>
  </si>
  <si>
    <t>NZ|SCM|F|18|50 Back</t>
  </si>
  <si>
    <t>Savannah-Eve Martin</t>
  </si>
  <si>
    <t>26.98</t>
  </si>
  <si>
    <t>12.12.24</t>
  </si>
  <si>
    <t>27.37</t>
  </si>
  <si>
    <t>NZ|SCM|F|18|100 Back</t>
  </si>
  <si>
    <t>57.35</t>
  </si>
  <si>
    <t>Emily Thomas</t>
  </si>
  <si>
    <t>58.02</t>
  </si>
  <si>
    <t>NZSC 2026 update: Emily Thomas 58.02 became next-fastest.</t>
  </si>
  <si>
    <t>NZ|SCM|F|18|200 Back</t>
  </si>
  <si>
    <t>2:05.69</t>
  </si>
  <si>
    <t>Caroline Baddock</t>
  </si>
  <si>
    <t>2:06.76</t>
  </si>
  <si>
    <t>NZSC 2026 update: Caroline Baddock 2:06.76 became next-fastest.</t>
  </si>
  <si>
    <t>NZ|SCM|F|18|50 Breast</t>
  </si>
  <si>
    <t>23.09.25</t>
  </si>
  <si>
    <t>31.41</t>
  </si>
  <si>
    <t>NZ|SCM|F|18|100 Breast</t>
  </si>
  <si>
    <t>NZ|SCM|F|18|200 Breast</t>
  </si>
  <si>
    <t>2:25.36</t>
  </si>
  <si>
    <t>31.07.21</t>
  </si>
  <si>
    <t>2:28.12</t>
  </si>
  <si>
    <t>NZ|SCM|F|18|50 Fly</t>
  </si>
  <si>
    <t>25.96</t>
  </si>
  <si>
    <t>NZ|SCM|F|18|100 Fly</t>
  </si>
  <si>
    <t>59.12</t>
  </si>
  <si>
    <t>59.74</t>
  </si>
  <si>
    <t>NZ|SCM|F|18|200 Fly</t>
  </si>
  <si>
    <t>Neve Tassicker</t>
  </si>
  <si>
    <t>2:12.24</t>
  </si>
  <si>
    <t>29.09.24</t>
  </si>
  <si>
    <t>2:13.01</t>
  </si>
  <si>
    <t>NZ|SCM|F|18|100 IM</t>
  </si>
  <si>
    <t>1:01.02</t>
  </si>
  <si>
    <t>NZSC 2026 update: Caroline Baddock 1:01.39 became next-fastest.</t>
  </si>
  <si>
    <t>NZ|SCM|F|18|200 IM</t>
  </si>
  <si>
    <t>Natalie Wiegersma</t>
  </si>
  <si>
    <t>2:11.93</t>
  </si>
  <si>
    <t>13.12.08</t>
  </si>
  <si>
    <t>2:13.61</t>
  </si>
  <si>
    <t>NZ|SCM|F|18|400 IM</t>
  </si>
  <si>
    <t>4:37.61</t>
  </si>
  <si>
    <t>NZ|LCM|M|13|50 Free</t>
  </si>
  <si>
    <t>LCM</t>
  </si>
  <si>
    <t>24.18</t>
  </si>
  <si>
    <t>16.12.25</t>
  </si>
  <si>
    <t>Swimming New Zealand Long Course Records by Age - user-supplied PDF</t>
  </si>
  <si>
    <t>25.00</t>
  </si>
  <si>
    <t>NZ|LCM|M|13|100 Free</t>
  </si>
  <si>
    <t>51.63</t>
  </si>
  <si>
    <t>14.12.25</t>
  </si>
  <si>
    <t>55.33</t>
  </si>
  <si>
    <t>NZ|LCM|M|13|200 Free</t>
  </si>
  <si>
    <t>1:52.13</t>
  </si>
  <si>
    <t>18.12.25</t>
  </si>
  <si>
    <t>2:00.40</t>
  </si>
  <si>
    <t>NZ|LCM|M|13|400 Free</t>
  </si>
  <si>
    <t>3:59.40</t>
  </si>
  <si>
    <t>17.12.25</t>
  </si>
  <si>
    <t>4:12.69</t>
  </si>
  <si>
    <t>NZ|LCM|M|13|800 Free</t>
  </si>
  <si>
    <t>8:39.78</t>
  </si>
  <si>
    <t>07.04.10</t>
  </si>
  <si>
    <t>8:54.94</t>
  </si>
  <si>
    <t>NZ|LCM|M|13|1500 Free</t>
  </si>
  <si>
    <t>16:39.49</t>
  </si>
  <si>
    <t>06.03.10</t>
  </si>
  <si>
    <t>17:01.85</t>
  </si>
  <si>
    <t>NZ|LCM|M|13|50 Back</t>
  </si>
  <si>
    <t>28.08</t>
  </si>
  <si>
    <t>NZ|LCM|M|13|100 Back</t>
  </si>
  <si>
    <t>Te Rauroha Paki</t>
  </si>
  <si>
    <t>19.04.24</t>
  </si>
  <si>
    <t>1:00.80</t>
  </si>
  <si>
    <t>NZ|LCM|M|13|200 Back</t>
  </si>
  <si>
    <t>Ross Dunwoody</t>
  </si>
  <si>
    <t>2:11.57</t>
  </si>
  <si>
    <t>22.03.95</t>
  </si>
  <si>
    <t>2:12.68</t>
  </si>
  <si>
    <t>NZ|LCM|M|13|50 Breast</t>
  </si>
  <si>
    <t>Michael Yang</t>
  </si>
  <si>
    <t>31.14</t>
  </si>
  <si>
    <t>14.04.25</t>
  </si>
  <si>
    <t>31.38</t>
  </si>
  <si>
    <t>NZ|LCM|M|13|100 Breast</t>
  </si>
  <si>
    <t>1:06.54</t>
  </si>
  <si>
    <t>24.05.25</t>
  </si>
  <si>
    <t>1:08.71</t>
  </si>
  <si>
    <t>NZ|LCM|M|13|200 Breast</t>
  </si>
  <si>
    <t>2:25.85</t>
  </si>
  <si>
    <t>15.04.25</t>
  </si>
  <si>
    <t>2:28.54</t>
  </si>
  <si>
    <t>NZ|LCM|M|13|50 Fly</t>
  </si>
  <si>
    <t>26.17</t>
  </si>
  <si>
    <t>27.23</t>
  </si>
  <si>
    <t>NZ|LCM|M|13|100 Fly</t>
  </si>
  <si>
    <t>56.85</t>
  </si>
  <si>
    <t>15.12.25</t>
  </si>
  <si>
    <t>1:00.04</t>
  </si>
  <si>
    <t>NZ|LCM|M|13|200 Fly</t>
  </si>
  <si>
    <t>Pierce Collins</t>
  </si>
  <si>
    <t>2:13.92</t>
  </si>
  <si>
    <t>17.04.18</t>
  </si>
  <si>
    <t>2:14.85</t>
  </si>
  <si>
    <t>NZ|LCM|M|13|200 IM</t>
  </si>
  <si>
    <t>2:09.69</t>
  </si>
  <si>
    <t>2:16.41</t>
  </si>
  <si>
    <t>NZ|LCM|M|13|400 IM</t>
  </si>
  <si>
    <t>4:46.89</t>
  </si>
  <si>
    <t>01.12.06</t>
  </si>
  <si>
    <t>4:47.83</t>
  </si>
  <si>
    <t>NZ|LCM|M|14|50 Free</t>
  </si>
  <si>
    <t>23.95</t>
  </si>
  <si>
    <t>20.08.26</t>
  </si>
  <si>
    <t>23.96</t>
  </si>
  <si>
    <t>NZ|LCM|M|14|100 Free</t>
  </si>
  <si>
    <t>51.04</t>
  </si>
  <si>
    <t>19.08.26</t>
  </si>
  <si>
    <t>52.42</t>
  </si>
  <si>
    <t>NZ|LCM|M|14|200 Free</t>
  </si>
  <si>
    <t>1:51.50</t>
  </si>
  <si>
    <t>17.08.26</t>
  </si>
  <si>
    <t>1:55.78</t>
  </si>
  <si>
    <t>NZ|LCM|M|14|400 Free</t>
  </si>
  <si>
    <t>4:02.64</t>
  </si>
  <si>
    <t>11.04.26</t>
  </si>
  <si>
    <t>4:03.94</t>
  </si>
  <si>
    <t>NZ|LCM|M|14|800 Free</t>
  </si>
  <si>
    <t>8:23.63</t>
  </si>
  <si>
    <t>05.04.11</t>
  </si>
  <si>
    <t>8:38.31</t>
  </si>
  <si>
    <t>NZ|LCM|M|14|1500 Free</t>
  </si>
  <si>
    <t>15:50.69</t>
  </si>
  <si>
    <t>08.04.11</t>
  </si>
  <si>
    <t>16:20.19</t>
  </si>
  <si>
    <t>NZ|LCM|M|14|50 Back</t>
  </si>
  <si>
    <t>27.05</t>
  </si>
  <si>
    <t>04.06.25</t>
  </si>
  <si>
    <t>27.11</t>
  </si>
  <si>
    <t>NZ|LCM|M|14|100 Back</t>
  </si>
  <si>
    <t>23.05.25</t>
  </si>
  <si>
    <t>59.26</t>
  </si>
  <si>
    <t>NZ|LCM|M|14|200 Back</t>
  </si>
  <si>
    <t>2:06.70</t>
  </si>
  <si>
    <t>22.05.25</t>
  </si>
  <si>
    <t>2:07.54</t>
  </si>
  <si>
    <t>NZ|LCM|M|14|50 Breast</t>
  </si>
  <si>
    <t>29.73</t>
  </si>
  <si>
    <t>09.04.26</t>
  </si>
  <si>
    <t>30.38</t>
  </si>
  <si>
    <t>NZ|LCM|M|14|100 Breast</t>
  </si>
  <si>
    <t>1:06.02</t>
  </si>
  <si>
    <t>13.03.26</t>
  </si>
  <si>
    <t>1:06.16</t>
  </si>
  <si>
    <t>NZ|LCM|M|14|200 Breast</t>
  </si>
  <si>
    <t>Joshua Gilbert</t>
  </si>
  <si>
    <t>2:23.64</t>
  </si>
  <si>
    <t>20.04.16</t>
  </si>
  <si>
    <t>2:25.11</t>
  </si>
  <si>
    <t>NZ|LCM|M|14|50 Fly</t>
  </si>
  <si>
    <t>25.71</t>
  </si>
  <si>
    <t>10.04.26 / 17.05.26</t>
  </si>
  <si>
    <t>26.06</t>
  </si>
  <si>
    <t>NZ|LCM|M|14|100 Fly</t>
  </si>
  <si>
    <t>56.09</t>
  </si>
  <si>
    <t>08.04.26</t>
  </si>
  <si>
    <t>57.50</t>
  </si>
  <si>
    <t>NZ|LCM|M|14|200 Fly</t>
  </si>
  <si>
    <t>2:07.99</t>
  </si>
  <si>
    <t>20.04.06</t>
  </si>
  <si>
    <t>2:08.51</t>
  </si>
  <si>
    <t>NZ|LCM|M|14|200 IM</t>
  </si>
  <si>
    <t>Joshua Taylor-Martin</t>
  </si>
  <si>
    <t>2:10.56</t>
  </si>
  <si>
    <t>14.12.13</t>
  </si>
  <si>
    <t>2:10.97</t>
  </si>
  <si>
    <t>NZ|LCM|M|14|400 IM</t>
  </si>
  <si>
    <t>4:38.15</t>
  </si>
  <si>
    <t>07.12.07</t>
  </si>
  <si>
    <t>4:39.99</t>
  </si>
  <si>
    <t>NZ|LCM|M|15|50 Free</t>
  </si>
  <si>
    <t>23.08</t>
  </si>
  <si>
    <t>04.07.18</t>
  </si>
  <si>
    <t>23.60</t>
  </si>
  <si>
    <t>NZ|LCM|M|15|100 Free</t>
  </si>
  <si>
    <t>50.61</t>
  </si>
  <si>
    <t>06.07.18</t>
  </si>
  <si>
    <t>51.93</t>
  </si>
  <si>
    <t>NZ|LCM|M|15|200 Free</t>
  </si>
  <si>
    <t>1:53.64</t>
  </si>
  <si>
    <t>15.03.91</t>
  </si>
  <si>
    <t>1:53.90</t>
  </si>
  <si>
    <t>NZ|LCM|M|15|400 Free</t>
  </si>
  <si>
    <t>3:55.98</t>
  </si>
  <si>
    <t>22.09.90</t>
  </si>
  <si>
    <t>3:58.07</t>
  </si>
  <si>
    <t>NZ|LCM|M|15|800 Free</t>
  </si>
  <si>
    <t>8:05.32</t>
  </si>
  <si>
    <t>13.03.91</t>
  </si>
  <si>
    <t>8:32.41</t>
  </si>
  <si>
    <t>NZ|LCM|M|15|1500 Free</t>
  </si>
  <si>
    <t>15:33.59</t>
  </si>
  <si>
    <t>31.03.12</t>
  </si>
  <si>
    <t>15:44.65</t>
  </si>
  <si>
    <t>NZ|LCM|M|15|50 Back</t>
  </si>
  <si>
    <t>Taiko Torepe-Ormsby</t>
  </si>
  <si>
    <t>20.06.19</t>
  </si>
  <si>
    <t>26.57</t>
  </si>
  <si>
    <t>NZ|LCM|M|15|100 Back</t>
  </si>
  <si>
    <t>57.12</t>
  </si>
  <si>
    <t>17.06.19</t>
  </si>
  <si>
    <t>57.30</t>
  </si>
  <si>
    <t>NZ|LCM|M|15|200 Back</t>
  </si>
  <si>
    <t>2:02.91</t>
  </si>
  <si>
    <t>2:03.39</t>
  </si>
  <si>
    <t>NZ|LCM|M|15|50 Breast</t>
  </si>
  <si>
    <t>Charles Hames</t>
  </si>
  <si>
    <t>29.49</t>
  </si>
  <si>
    <t>21.06.26</t>
  </si>
  <si>
    <t>29.59</t>
  </si>
  <si>
    <t>NZ|LCM|M|15|100 Breast</t>
  </si>
  <si>
    <t>1:04.53</t>
  </si>
  <si>
    <t>1:04.62</t>
  </si>
  <si>
    <t>NZ|LCM|M|15|200 Breast</t>
  </si>
  <si>
    <t>2:21.39</t>
  </si>
  <si>
    <t>12.11.23</t>
  </si>
  <si>
    <t>2:21.79</t>
  </si>
  <si>
    <t>NZ|LCM|M|15|50 Fly</t>
  </si>
  <si>
    <t>25.09</t>
  </si>
  <si>
    <t>25.21</t>
  </si>
  <si>
    <t>NZ|LCM|M|15|100 Fly</t>
  </si>
  <si>
    <t>56.38</t>
  </si>
  <si>
    <t>56.68</t>
  </si>
  <si>
    <t>NZ|LCM|M|15|200 Fly</t>
  </si>
  <si>
    <t>2:02.94</t>
  </si>
  <si>
    <t>23.02.25</t>
  </si>
  <si>
    <t>2:05.55</t>
  </si>
  <si>
    <t>NZ|LCM|M|15|200 IM</t>
  </si>
  <si>
    <t>20.12.24</t>
  </si>
  <si>
    <t>2:08.07</t>
  </si>
  <si>
    <t>NZ|LCM|M|15|400 IM</t>
  </si>
  <si>
    <t>4:28.71</t>
  </si>
  <si>
    <t>01.12.24</t>
  </si>
  <si>
    <t>4:33.10</t>
  </si>
  <si>
    <t>NZ|LCM|M|16|50 Free</t>
  </si>
  <si>
    <t>22.34</t>
  </si>
  <si>
    <t>22.98</t>
  </si>
  <si>
    <t>NZ|LCM|M|16|100 Free</t>
  </si>
  <si>
    <t>50.39</t>
  </si>
  <si>
    <t>20.04.19</t>
  </si>
  <si>
    <t>50.69</t>
  </si>
  <si>
    <t>NZ|LCM|M|16|200 Free</t>
  </si>
  <si>
    <t>1:51.35</t>
  </si>
  <si>
    <t>14.12.11</t>
  </si>
  <si>
    <t>1:52.25</t>
  </si>
  <si>
    <t>NZ|LCM|M|16|400 Free</t>
  </si>
  <si>
    <t>3:55.15</t>
  </si>
  <si>
    <t>28.10.91</t>
  </si>
  <si>
    <t>3:58.60</t>
  </si>
  <si>
    <t>NZ|LCM|M|16|800 Free</t>
  </si>
  <si>
    <t>8:11.25</t>
  </si>
  <si>
    <t>NZ|LCM|M|16|1500 Free</t>
  </si>
  <si>
    <t>15:32.13</t>
  </si>
  <si>
    <t>22.03.13</t>
  </si>
  <si>
    <t>15:38.39</t>
  </si>
  <si>
    <t>NZ|LCM|M|16|50 Back</t>
  </si>
  <si>
    <t>25.90</t>
  </si>
  <si>
    <t>25.05.25</t>
  </si>
  <si>
    <t>26.33</t>
  </si>
  <si>
    <t>NZ|LCM|M|16|100 Back</t>
  </si>
  <si>
    <t>Lucas Bell</t>
  </si>
  <si>
    <t>56.49</t>
  </si>
  <si>
    <t>10.04.26</t>
  </si>
  <si>
    <t>56.51</t>
  </si>
  <si>
    <t>NZ|LCM|M|16|200 Back</t>
  </si>
  <si>
    <t>2:00.56</t>
  </si>
  <si>
    <t>29.11.25</t>
  </si>
  <si>
    <t>2:02.93</t>
  </si>
  <si>
    <t>NZ|LCM|M|16|50 Breast</t>
  </si>
  <si>
    <t>28.65</t>
  </si>
  <si>
    <t>02.03.11</t>
  </si>
  <si>
    <t>28.74</t>
  </si>
  <si>
    <t>NZ|LCM|M|16|100 Breast</t>
  </si>
  <si>
    <t>1:03.60</t>
  </si>
  <si>
    <t>19.04.11</t>
  </si>
  <si>
    <t>1:04.04</t>
  </si>
  <si>
    <t>NZ|LCM|M|16|200 Breast</t>
  </si>
  <si>
    <t>2:17.65</t>
  </si>
  <si>
    <t>10.12.18</t>
  </si>
  <si>
    <t>2:19.87</t>
  </si>
  <si>
    <t>NZ|LCM|M|16|50 Fly</t>
  </si>
  <si>
    <t>04.03.03</t>
  </si>
  <si>
    <t>24.95</t>
  </si>
  <si>
    <t>NZ|LCM|M|16|100 Fly</t>
  </si>
  <si>
    <t>53.49</t>
  </si>
  <si>
    <t>06.03.03</t>
  </si>
  <si>
    <t>55.04</t>
  </si>
  <si>
    <t>NZ|LCM|M|16|200 Fly</t>
  </si>
  <si>
    <t>2:00.02</t>
  </si>
  <si>
    <t>16.04.25</t>
  </si>
  <si>
    <t>2:01.33</t>
  </si>
  <si>
    <t>NZ|LCM|M|16|200 IM</t>
  </si>
  <si>
    <t>2:02.54</t>
  </si>
  <si>
    <t>07.02.26</t>
  </si>
  <si>
    <t>2:04.35</t>
  </si>
  <si>
    <t>NZ|LCM|M|16|400 IM</t>
  </si>
  <si>
    <t>4:19.17</t>
  </si>
  <si>
    <t>22.02.26</t>
  </si>
  <si>
    <t>4:23.95</t>
  </si>
  <si>
    <t>NZ|LCM|M|17|50 Free</t>
  </si>
  <si>
    <t>Orinoco Faamausili-Banse-Prince</t>
  </si>
  <si>
    <t>22.37</t>
  </si>
  <si>
    <t>22.46</t>
  </si>
  <si>
    <t>NZ|LCM|M|17|100 Free</t>
  </si>
  <si>
    <t>Tyron Henry</t>
  </si>
  <si>
    <t>50.12</t>
  </si>
  <si>
    <t>21.06.19</t>
  </si>
  <si>
    <t>NZ|LCM|M|17|200 Free</t>
  </si>
  <si>
    <t>1:50.84</t>
  </si>
  <si>
    <t>12.04.26</t>
  </si>
  <si>
    <t>1:51.20</t>
  </si>
  <si>
    <t>NZ|LCM|M|17|400 Free</t>
  </si>
  <si>
    <t>3:49.97</t>
  </si>
  <si>
    <t>29.07.92</t>
  </si>
  <si>
    <t>3:52.15</t>
  </si>
  <si>
    <t>NZ|LCM|M|17|800 Free</t>
  </si>
  <si>
    <t>0</t>
  </si>
  <si>
    <t>8:07.37</t>
  </si>
  <si>
    <t>NZ|LCM|M|17|1500 Free</t>
  </si>
  <si>
    <t>15:31.53</t>
  </si>
  <si>
    <t>31.08.13</t>
  </si>
  <si>
    <t>15:36.82</t>
  </si>
  <si>
    <t>NZ|LCM|M|17|50 Back</t>
  </si>
  <si>
    <t>Finn Harland</t>
  </si>
  <si>
    <t>09.09.23</t>
  </si>
  <si>
    <t>25.66</t>
  </si>
  <si>
    <t>NZ|LCM|M|17|100 Back</t>
  </si>
  <si>
    <t>54.63</t>
  </si>
  <si>
    <t>54.96</t>
  </si>
  <si>
    <t>NZ|LCM|M|17|200 Back</t>
  </si>
  <si>
    <t>1:59.07</t>
  </si>
  <si>
    <t>15.05.26</t>
  </si>
  <si>
    <t>1:59.52</t>
  </si>
  <si>
    <t>NZ|LCM|M|17|50 Breast</t>
  </si>
  <si>
    <t>28.44</t>
  </si>
  <si>
    <t>27.03.12</t>
  </si>
  <si>
    <t>29.00</t>
  </si>
  <si>
    <t>NZ|LCM|M|17|100 Breast</t>
  </si>
  <si>
    <t>1:02.61</t>
  </si>
  <si>
    <t>02.05.14</t>
  </si>
  <si>
    <t>1:03.11</t>
  </si>
  <si>
    <t>NZ|LCM|M|17|200 Breast</t>
  </si>
  <si>
    <t>2:15.72</t>
  </si>
  <si>
    <t>17.12.19</t>
  </si>
  <si>
    <t>2:17.02</t>
  </si>
  <si>
    <t>NZ|LCM|M|17|50 Fly</t>
  </si>
  <si>
    <t>23.99</t>
  </si>
  <si>
    <t>04.03.04</t>
  </si>
  <si>
    <t>NZ|LCM|M|17|100 Fly</t>
  </si>
  <si>
    <t>06.03.04</t>
  </si>
  <si>
    <t>54.58</t>
  </si>
  <si>
    <t>NZ|LCM|M|17|200 Fly</t>
  </si>
  <si>
    <t>1:57.93</t>
  </si>
  <si>
    <t>30.07.92</t>
  </si>
  <si>
    <t>1:59.27</t>
  </si>
  <si>
    <t>NZ|LCM|M|17|200 IM</t>
  </si>
  <si>
    <t>2:00.12</t>
  </si>
  <si>
    <t>13.05.26</t>
  </si>
  <si>
    <t>2:02.44</t>
  </si>
  <si>
    <t>NZ|LCM|M|17|400 IM</t>
  </si>
  <si>
    <t>4:17.62</t>
  </si>
  <si>
    <t>4:21.05</t>
  </si>
  <si>
    <t>NZ|LCM|M|18|50 Free</t>
  </si>
  <si>
    <t>15.12.20</t>
  </si>
  <si>
    <t>22.42</t>
  </si>
  <si>
    <t>NZ|LCM|M|18|100 Free</t>
  </si>
  <si>
    <t>Michael Pickett / Cameron Gray</t>
  </si>
  <si>
    <t>49.77</t>
  </si>
  <si>
    <t>13.05.21 / 08.04.22</t>
  </si>
  <si>
    <t>NZ|LCM|M|18|200 Free</t>
  </si>
  <si>
    <t>Lewis Clareburt</t>
  </si>
  <si>
    <t>1:48.32</t>
  </si>
  <si>
    <t>19.04.18</t>
  </si>
  <si>
    <t>1:48.94</t>
  </si>
  <si>
    <t>NZ|LCM|M|18|400 Free</t>
  </si>
  <si>
    <t>3:49.50</t>
  </si>
  <si>
    <t>0.01.00</t>
  </si>
  <si>
    <t>3:51.10</t>
  </si>
  <si>
    <t>NZ|LCM|M|18|800 Free</t>
  </si>
  <si>
    <t>8:01.87</t>
  </si>
  <si>
    <t>8:06.39</t>
  </si>
  <si>
    <t>NZ|LCM|M|18|1500 Free</t>
  </si>
  <si>
    <t>15:25.64</t>
  </si>
  <si>
    <t>15:30.74</t>
  </si>
  <si>
    <t>NZ|LCM|M|18|50 Back</t>
  </si>
  <si>
    <t>24.97</t>
  </si>
  <si>
    <t>11.04.24</t>
  </si>
  <si>
    <t>25.27</t>
  </si>
  <si>
    <t>NZ|LCM|M|18|100 Back</t>
  </si>
  <si>
    <t>54.52</t>
  </si>
  <si>
    <t>15.08.08</t>
  </si>
  <si>
    <t>54.57</t>
  </si>
  <si>
    <t>NZ|LCM|M|18|200 Back</t>
  </si>
  <si>
    <t>Gareth Kean</t>
  </si>
  <si>
    <t>1:57.78</t>
  </si>
  <si>
    <t>29.08.10</t>
  </si>
  <si>
    <t>1:59.67</t>
  </si>
  <si>
    <t>NZ|LCM|M|18|50 Breast</t>
  </si>
  <si>
    <t>Matthew Holder</t>
  </si>
  <si>
    <t>28.67</t>
  </si>
  <si>
    <t>19.06.19</t>
  </si>
  <si>
    <t>28.68</t>
  </si>
  <si>
    <t>NZ|LCM|M|18|100 Breast</t>
  </si>
  <si>
    <t>Mario Koenigsperger</t>
  </si>
  <si>
    <t>1:01.80</t>
  </si>
  <si>
    <t>18.04.16</t>
  </si>
  <si>
    <t>1:02.90</t>
  </si>
  <si>
    <t>NZ|LCM|M|18|200 Breast</t>
  </si>
  <si>
    <t>George Schroder</t>
  </si>
  <si>
    <t>2:14.95</t>
  </si>
  <si>
    <t>30.08.14</t>
  </si>
  <si>
    <t>2:16.37</t>
  </si>
  <si>
    <t>NZ|LCM|M|18|50 Fly</t>
  </si>
  <si>
    <t>23.27</t>
  </si>
  <si>
    <t>23.51</t>
  </si>
  <si>
    <t>NZ|LCM|M|18|100 Fly</t>
  </si>
  <si>
    <t>52.28</t>
  </si>
  <si>
    <t>1.04.09</t>
  </si>
  <si>
    <t>52.50</t>
  </si>
  <si>
    <t>NZ|LCM|M|18|200 Fly</t>
  </si>
  <si>
    <t>1:57.75</t>
  </si>
  <si>
    <t>1:59.42</t>
  </si>
  <si>
    <t>NZ|LCM|M|18|200 IM</t>
  </si>
  <si>
    <t>2:01.13</t>
  </si>
  <si>
    <t>10.04.18</t>
  </si>
  <si>
    <t>NZ|LCM|M|18|400 IM</t>
  </si>
  <si>
    <t>4:14.42</t>
  </si>
  <si>
    <t>6.04.18</t>
  </si>
  <si>
    <t>4:23.06</t>
  </si>
  <si>
    <t>NZ|LCM|F|13|50 Free</t>
  </si>
  <si>
    <t>26.10</t>
  </si>
  <si>
    <t>30.08.13</t>
  </si>
  <si>
    <t>26.40</t>
  </si>
  <si>
    <t>NZ|LCM|F|13|100 Free</t>
  </si>
  <si>
    <t>21.03.13</t>
  </si>
  <si>
    <t>58.94</t>
  </si>
  <si>
    <t>NZ|LCM|F|13|200 Free</t>
  </si>
  <si>
    <t>2:06.89</t>
  </si>
  <si>
    <t>23.03.17</t>
  </si>
  <si>
    <t>2:07.11</t>
  </si>
  <si>
    <t>NZ|LCM|F|13|400 Free</t>
  </si>
  <si>
    <t>Verity Hicks</t>
  </si>
  <si>
    <t>4:27.27</t>
  </si>
  <si>
    <t>11.04.02</t>
  </si>
  <si>
    <t>4:28.57</t>
  </si>
  <si>
    <t>NZ|LCM|F|13|800 Free</t>
  </si>
  <si>
    <t>9:08.20</t>
  </si>
  <si>
    <t>20.10.07</t>
  </si>
  <si>
    <t>9:12.80</t>
  </si>
  <si>
    <t>NZ|LCM|F|13|1500 Free</t>
  </si>
  <si>
    <t>Carmen Ooi</t>
  </si>
  <si>
    <t>17:45.23</t>
  </si>
  <si>
    <t>03.04.04</t>
  </si>
  <si>
    <t>17:48.73</t>
  </si>
  <si>
    <t>NZ|LCM|F|13|50 Back</t>
  </si>
  <si>
    <t>28.14</t>
  </si>
  <si>
    <t>29.14</t>
  </si>
  <si>
    <t>NZ|LCM|F|13|100 Back</t>
  </si>
  <si>
    <t>1:02.49</t>
  </si>
  <si>
    <t>28.02.13</t>
  </si>
  <si>
    <t>1:03.01</t>
  </si>
  <si>
    <t>NZ|LCM|F|13|200 Back</t>
  </si>
  <si>
    <t>2:15.61</t>
  </si>
  <si>
    <t>26.02.13</t>
  </si>
  <si>
    <t>2:19.18</t>
  </si>
  <si>
    <t>NZ|LCM|F|13|50 Breast</t>
  </si>
  <si>
    <t>Abbie Johnston</t>
  </si>
  <si>
    <t>33.36</t>
  </si>
  <si>
    <t>05.04.10</t>
  </si>
  <si>
    <t>33.69</t>
  </si>
  <si>
    <t>NZ|LCM|F|13|100 Breast</t>
  </si>
  <si>
    <t>1:13.11</t>
  </si>
  <si>
    <t>14.05.26</t>
  </si>
  <si>
    <t>1:13.91</t>
  </si>
  <si>
    <t>NZ|LCM|F|13|200 Breast</t>
  </si>
  <si>
    <t>2:36.70</t>
  </si>
  <si>
    <t>17.05.26</t>
  </si>
  <si>
    <t>2:39.14</t>
  </si>
  <si>
    <t>NZ|LCM|F|13|50 Fly</t>
  </si>
  <si>
    <t>Indie Herbert</t>
  </si>
  <si>
    <t>28.36</t>
  </si>
  <si>
    <t>28.40</t>
  </si>
  <si>
    <t>NZ|LCM|F|13|100 Fly</t>
  </si>
  <si>
    <t>1:02.11</t>
  </si>
  <si>
    <t>06.03.09</t>
  </si>
  <si>
    <t>1:02.68</t>
  </si>
  <si>
    <t>NZ|LCM|F|13|200 Fly</t>
  </si>
  <si>
    <t>Nichola West</t>
  </si>
  <si>
    <t>2:21.75</t>
  </si>
  <si>
    <t>01.01.89</t>
  </si>
  <si>
    <t>2:23.22</t>
  </si>
  <si>
    <t>NZ|LCM|F|13|200 IM</t>
  </si>
  <si>
    <t>Carissa Thompson</t>
  </si>
  <si>
    <t>2:22.00</t>
  </si>
  <si>
    <t>08.04.99</t>
  </si>
  <si>
    <t>2:22.50</t>
  </si>
  <si>
    <t>NZ|LCM|F|13|400 IM</t>
  </si>
  <si>
    <t>4:59.78</t>
  </si>
  <si>
    <t>14.04.14</t>
  </si>
  <si>
    <t>5:01.07</t>
  </si>
  <si>
    <t>NZ|LCM|F|14|50 Free</t>
  </si>
  <si>
    <t>25.86</t>
  </si>
  <si>
    <t>23.05.14</t>
  </si>
  <si>
    <t>26.15</t>
  </si>
  <si>
    <t>NZ|LCM|F|14|100 Free</t>
  </si>
  <si>
    <t>57.16</t>
  </si>
  <si>
    <t>08.10.18</t>
  </si>
  <si>
    <t>57.25</t>
  </si>
  <si>
    <t>NZ|LCM|F|14|200 Free</t>
  </si>
  <si>
    <t>2:02.11</t>
  </si>
  <si>
    <t>23.08.18</t>
  </si>
  <si>
    <t>NZ|LCM|F|14|400 Free</t>
  </si>
  <si>
    <t>4:13.55</t>
  </si>
  <si>
    <t>25.08.18</t>
  </si>
  <si>
    <t>4:21.35</t>
  </si>
  <si>
    <t>NZ|LCM|F|14|800 Free</t>
  </si>
  <si>
    <t>8:56.14</t>
  </si>
  <si>
    <t>09.10.18</t>
  </si>
  <si>
    <t>8:56.96</t>
  </si>
  <si>
    <t>NZ|LCM|F|14|1500 Free</t>
  </si>
  <si>
    <t>17:21.76</t>
  </si>
  <si>
    <t>17.04.03</t>
  </si>
  <si>
    <t>17:29.74</t>
  </si>
  <si>
    <t>NZ|LCM|F|14|50 Back</t>
  </si>
  <si>
    <t>28.53</t>
  </si>
  <si>
    <t>01.05.14</t>
  </si>
  <si>
    <t>28.98</t>
  </si>
  <si>
    <t>NZ|LCM|F|14|100 Back</t>
  </si>
  <si>
    <t>1:01.25</t>
  </si>
  <si>
    <t>18.08.14</t>
  </si>
  <si>
    <t>1:01.32</t>
  </si>
  <si>
    <t>NZ|LCM|F|14|200 Back</t>
  </si>
  <si>
    <t>2:13.60</t>
  </si>
  <si>
    <t>08.04.10</t>
  </si>
  <si>
    <t>2:15.52</t>
  </si>
  <si>
    <t>NZ|LCM|F|14|50 Breast</t>
  </si>
  <si>
    <t>Annabelle Carey</t>
  </si>
  <si>
    <t>32.74</t>
  </si>
  <si>
    <t>02.03.04</t>
  </si>
  <si>
    <t>32.83</t>
  </si>
  <si>
    <t>NZ|LCM|F|14|100 Breast</t>
  </si>
  <si>
    <t>1:11.28</t>
  </si>
  <si>
    <t>1:12.17</t>
  </si>
  <si>
    <t>NZ|LCM|F|14|200 Breast</t>
  </si>
  <si>
    <t>2:33.74</t>
  </si>
  <si>
    <t>21.04.17</t>
  </si>
  <si>
    <t>2:34.54</t>
  </si>
  <si>
    <t>NZ|LCM|F|14|50 Fly</t>
  </si>
  <si>
    <t>Kendall Cochrane</t>
  </si>
  <si>
    <t>27.86</t>
  </si>
  <si>
    <t>01.04.04</t>
  </si>
  <si>
    <t>27.99</t>
  </si>
  <si>
    <t>NZ|LCM|F|14|100 Fly</t>
  </si>
  <si>
    <t>1:01.72</t>
  </si>
  <si>
    <t>03.04.23</t>
  </si>
  <si>
    <t>1:02.60</t>
  </si>
  <si>
    <t>NZ|LCM|F|14|200 Fly</t>
  </si>
  <si>
    <t>2:18.27</t>
  </si>
  <si>
    <t>27.03.08</t>
  </si>
  <si>
    <t>2:19.12</t>
  </si>
  <si>
    <t>NZ|LCM|F|14|200 IM</t>
  </si>
  <si>
    <t>Gina McCarthy</t>
  </si>
  <si>
    <t>2:20.30</t>
  </si>
  <si>
    <t>16.04.17</t>
  </si>
  <si>
    <t>2:21.70</t>
  </si>
  <si>
    <t>NZ|LCM|F|14|400 IM</t>
  </si>
  <si>
    <t>4:51.85</t>
  </si>
  <si>
    <t>08.02.15</t>
  </si>
  <si>
    <t>4:55.68</t>
  </si>
  <si>
    <t>NZ|LCM|F|15|50 Free</t>
  </si>
  <si>
    <t>25.63</t>
  </si>
  <si>
    <t>13.04.23</t>
  </si>
  <si>
    <t>25.65</t>
  </si>
  <si>
    <t>NZ|LCM|F|15|100 Free</t>
  </si>
  <si>
    <t>55.60</t>
  </si>
  <si>
    <t>16.04.19</t>
  </si>
  <si>
    <t>55.98</t>
  </si>
  <si>
    <t>NZ|LCM|F|15|200 Free</t>
  </si>
  <si>
    <t>1:57.96</t>
  </si>
  <si>
    <t>25.08.19</t>
  </si>
  <si>
    <t>2:02.20</t>
  </si>
  <si>
    <t>NZ|LCM|F|15|400 Free</t>
  </si>
  <si>
    <t>4:08.78</t>
  </si>
  <si>
    <t>23.08.19</t>
  </si>
  <si>
    <t>NZ|LCM|F|15|800 Free</t>
  </si>
  <si>
    <t>8:45.91</t>
  </si>
  <si>
    <t>17.04.19</t>
  </si>
  <si>
    <t>8:54.83</t>
  </si>
  <si>
    <t>NZ|LCM|F|15|1500 Free</t>
  </si>
  <si>
    <t>17:03.95</t>
  </si>
  <si>
    <t>28.01.93</t>
  </si>
  <si>
    <t>17:19.22</t>
  </si>
  <si>
    <t>NZ|LCM|F|15|50 Back</t>
  </si>
  <si>
    <t>27.81</t>
  </si>
  <si>
    <t>29.08.15</t>
  </si>
  <si>
    <t>NZ|LCM|F|15|100 Back</t>
  </si>
  <si>
    <t>1:00.42</t>
  </si>
  <si>
    <t>26.08.15</t>
  </si>
  <si>
    <t>1:00.74</t>
  </si>
  <si>
    <t>NZ|LCM|F|15|200 Back</t>
  </si>
  <si>
    <t>2:10.87</t>
  </si>
  <si>
    <t>09.09.15</t>
  </si>
  <si>
    <t>2:11.72</t>
  </si>
  <si>
    <t>NZ|LCM|F|15|50 Breast</t>
  </si>
  <si>
    <t>30.67</t>
  </si>
  <si>
    <t>16.04.23</t>
  </si>
  <si>
    <t>32.23</t>
  </si>
  <si>
    <t>NZ|LCM|F|15|100 Breast</t>
  </si>
  <si>
    <t>1:09.06</t>
  </si>
  <si>
    <t>02.04.23</t>
  </si>
  <si>
    <t>1:10.81</t>
  </si>
  <si>
    <t>NZ|LCM|F|15|200 Breast</t>
  </si>
  <si>
    <t>2:31.57</t>
  </si>
  <si>
    <t>22.04.11</t>
  </si>
  <si>
    <t>2:31.83</t>
  </si>
  <si>
    <t>NZ|LCM|F|15|50 Fly</t>
  </si>
  <si>
    <t>27.22</t>
  </si>
  <si>
    <t>NZ|LCM|F|15|100 Fly</t>
  </si>
  <si>
    <t>03.04.11</t>
  </si>
  <si>
    <t>1:01.21</t>
  </si>
  <si>
    <t>NZ|LCM|F|15|200 Fly</t>
  </si>
  <si>
    <t>2:15.13</t>
  </si>
  <si>
    <t>2:15.40</t>
  </si>
  <si>
    <t>NZ|LCM|F|15|200 IM</t>
  </si>
  <si>
    <t>2:18.61</t>
  </si>
  <si>
    <t>02.04.16</t>
  </si>
  <si>
    <t>2:19.38</t>
  </si>
  <si>
    <t>NZ|LCM|F|15|400 IM</t>
  </si>
  <si>
    <t>4:46.87</t>
  </si>
  <si>
    <t>31.03.16</t>
  </si>
  <si>
    <t>4:54.67</t>
  </si>
  <si>
    <t>NZ|LCM|F|16|50 Free</t>
  </si>
  <si>
    <t>25.26</t>
  </si>
  <si>
    <t>24.08.16</t>
  </si>
  <si>
    <t>25.59</t>
  </si>
  <si>
    <t>NZ|LCM|F|16|100 Free</t>
  </si>
  <si>
    <t>55.69</t>
  </si>
  <si>
    <t>05.09.23</t>
  </si>
  <si>
    <t>55.84</t>
  </si>
  <si>
    <t>NZ|LCM|F|16|200 Free</t>
  </si>
  <si>
    <t>1:57.38</t>
  </si>
  <si>
    <t>11.12.20</t>
  </si>
  <si>
    <t>2:01.26</t>
  </si>
  <si>
    <t>NZ|LCM|F|16|400 Free</t>
  </si>
  <si>
    <t>4:07.23</t>
  </si>
  <si>
    <t>15.02.20</t>
  </si>
  <si>
    <t>4:14.45</t>
  </si>
  <si>
    <t>NZ|LCM|F|16|800 Free</t>
  </si>
  <si>
    <t>Cara Baker</t>
  </si>
  <si>
    <t>8:48.07</t>
  </si>
  <si>
    <t>03.04.07</t>
  </si>
  <si>
    <t>8:50.12</t>
  </si>
  <si>
    <t>NZ|LCM|F|16|1500 Free</t>
  </si>
  <si>
    <t>Phoebe Williams</t>
  </si>
  <si>
    <t>17:03.12</t>
  </si>
  <si>
    <t>13.08.09</t>
  </si>
  <si>
    <t>17:07.21</t>
  </si>
  <si>
    <t>NZ|LCM|F|16|50 Back</t>
  </si>
  <si>
    <t>27.97</t>
  </si>
  <si>
    <t>29.03.16</t>
  </si>
  <si>
    <t>NZ|LCM|F|16|100 Back</t>
  </si>
  <si>
    <t>1:00.76</t>
  </si>
  <si>
    <t>19.04.16</t>
  </si>
  <si>
    <t>1:00.82</t>
  </si>
  <si>
    <t>NZ|LCM|F|16|200 Back</t>
  </si>
  <si>
    <t>01.04.16</t>
  </si>
  <si>
    <t>2:12.31</t>
  </si>
  <si>
    <t>NZ|LCM|F|16|50 Breast</t>
  </si>
  <si>
    <t>13.04.24</t>
  </si>
  <si>
    <t>NZ|LCM|F|16|100 Breast</t>
  </si>
  <si>
    <t>1:07.67</t>
  </si>
  <si>
    <t>15.03.24</t>
  </si>
  <si>
    <t>1:09.98</t>
  </si>
  <si>
    <t>NZ|LCM|F|16|200 Breast</t>
  </si>
  <si>
    <t>2:30.05</t>
  </si>
  <si>
    <t>2:30.54</t>
  </si>
  <si>
    <t>NZ|LCM|F|16|50 Fly</t>
  </si>
  <si>
    <t>26.61</t>
  </si>
  <si>
    <t>10.04.24</t>
  </si>
  <si>
    <t>26.92</t>
  </si>
  <si>
    <t>NZ|LCM|F|16|100 Fly</t>
  </si>
  <si>
    <t>58.71</t>
  </si>
  <si>
    <t>25.03.12</t>
  </si>
  <si>
    <t>NZ|LCM|F|16|200 Fly</t>
  </si>
  <si>
    <t>2:14.03</t>
  </si>
  <si>
    <t>10.03.12</t>
  </si>
  <si>
    <t>NZ|LCM|F|16|200 IM</t>
  </si>
  <si>
    <t>2:16.99</t>
  </si>
  <si>
    <t>2:18.46</t>
  </si>
  <si>
    <t>NZ|LCM|F|16|400 IM</t>
  </si>
  <si>
    <t>4:44.89</t>
  </si>
  <si>
    <t>24.03.17</t>
  </si>
  <si>
    <t>4:50.59</t>
  </si>
  <si>
    <t>NZ|LCM|F|17|50 Free</t>
  </si>
  <si>
    <t>25.02</t>
  </si>
  <si>
    <t>05.04.17</t>
  </si>
  <si>
    <t>25.43</t>
  </si>
  <si>
    <t>NZ|LCM|F|17|100 Free</t>
  </si>
  <si>
    <t>Laura Littlejohn / Zoe Pedersen</t>
  </si>
  <si>
    <t>55.43</t>
  </si>
  <si>
    <t>08.04.22</t>
  </si>
  <si>
    <t>NZ|LCM|F|17|200 Free</t>
  </si>
  <si>
    <t>1:57.26</t>
  </si>
  <si>
    <t>26.07.21</t>
  </si>
  <si>
    <t>2:01.68</t>
  </si>
  <si>
    <t>NZ|LCM|F|17|400 Free</t>
  </si>
  <si>
    <t>4:02.28</t>
  </si>
  <si>
    <t>25.07.21</t>
  </si>
  <si>
    <t>4:12.99</t>
  </si>
  <si>
    <t>NZ|LCM|F|17|800 Free</t>
  </si>
  <si>
    <t>Hayley McIntosh</t>
  </si>
  <si>
    <t>8:41.87</t>
  </si>
  <si>
    <t>03.04.17</t>
  </si>
  <si>
    <t>8:44.92</t>
  </si>
  <si>
    <t>NZ|LCM|F|17|1500 Free</t>
  </si>
  <si>
    <t>16:46.83</t>
  </si>
  <si>
    <t>18.03.13</t>
  </si>
  <si>
    <t>16:51.72</t>
  </si>
  <si>
    <t>NZ|LCM|F|17|50 Back</t>
  </si>
  <si>
    <t>28.06</t>
  </si>
  <si>
    <t>17.07.26</t>
  </si>
  <si>
    <t>28.60</t>
  </si>
  <si>
    <t>NZ|LCM|F|17|100 Back</t>
  </si>
  <si>
    <t>1:00.22</t>
  </si>
  <si>
    <t>NZ|LCM|F|17|200 Back</t>
  </si>
  <si>
    <t>2:12.17</t>
  </si>
  <si>
    <t>NZ|LCM|F|17|50 Breast</t>
  </si>
  <si>
    <t>31.24</t>
  </si>
  <si>
    <t>32.21</t>
  </si>
  <si>
    <t>NZ|LCM|F|17|100 Breast</t>
  </si>
  <si>
    <t>1:09.26</t>
  </si>
  <si>
    <t>15.12.06</t>
  </si>
  <si>
    <t>1:09.49</t>
  </si>
  <si>
    <t>NZ|LCM|F|17|200 Breast</t>
  </si>
  <si>
    <t>2:31.36</t>
  </si>
  <si>
    <t>20.01.13</t>
  </si>
  <si>
    <t>2:31.49</t>
  </si>
  <si>
    <t>NZ|LCM|F|17|50 Fly</t>
  </si>
  <si>
    <t>26.30</t>
  </si>
  <si>
    <t>NZ|LCM|F|17|100 Fly</t>
  </si>
  <si>
    <t>58.84</t>
  </si>
  <si>
    <t>17.03.13</t>
  </si>
  <si>
    <t>NZ|LCM|F|17|200 Fly</t>
  </si>
  <si>
    <t>2:14.39</t>
  </si>
  <si>
    <t>21.03.17</t>
  </si>
  <si>
    <t>2:15.70</t>
  </si>
  <si>
    <t>NZ|LCM|F|17|200 IM</t>
  </si>
  <si>
    <t>2:15.10</t>
  </si>
  <si>
    <t>01.07.07</t>
  </si>
  <si>
    <t>2:16.55</t>
  </si>
  <si>
    <t>NZ|LCM|F|17|400 IM</t>
  </si>
  <si>
    <t>4:42.19</t>
  </si>
  <si>
    <t>20.07.17</t>
  </si>
  <si>
    <t>4:45.19</t>
  </si>
  <si>
    <t>NZ|LCM|F|18|50 Free</t>
  </si>
  <si>
    <t>23.08.25</t>
  </si>
  <si>
    <t>NZ|LCM|F|18|100 Free</t>
  </si>
  <si>
    <t>55.03</t>
  </si>
  <si>
    <t>20.08.25</t>
  </si>
  <si>
    <t>55.30</t>
  </si>
  <si>
    <t>NZ|LCM|F|18|200 Free</t>
  </si>
  <si>
    <t>1:57.08</t>
  </si>
  <si>
    <t>29.07.22</t>
  </si>
  <si>
    <t>2:00.06</t>
  </si>
  <si>
    <t>NZ|LCM|F|18|400 Free</t>
  </si>
  <si>
    <t>4:03.84</t>
  </si>
  <si>
    <t>03.08.22</t>
  </si>
  <si>
    <t>4:11.74</t>
  </si>
  <si>
    <t>NZ|LCM|F|18|800 Free</t>
  </si>
  <si>
    <t>Eve Thomas</t>
  </si>
  <si>
    <t>8:37.75</t>
  </si>
  <si>
    <t>8:42.01</t>
  </si>
  <si>
    <t>NZ|LCM|F|18|1500 Free</t>
  </si>
  <si>
    <t>16:28.57</t>
  </si>
  <si>
    <t>18.12.19</t>
  </si>
  <si>
    <t>16:37.30</t>
  </si>
  <si>
    <t>NZ|LCM|F|18|50 Back</t>
  </si>
  <si>
    <t>28.25</t>
  </si>
  <si>
    <t>13.08.26</t>
  </si>
  <si>
    <t>28.47</t>
  </si>
  <si>
    <t>NZ|LCM|F|18|100 Back</t>
  </si>
  <si>
    <t>1:00.34</t>
  </si>
  <si>
    <t>12.08.26</t>
  </si>
  <si>
    <t>1:01.64</t>
  </si>
  <si>
    <t>NZ|LCM|F|18|200 Back</t>
  </si>
  <si>
    <t>Penelope Marshall</t>
  </si>
  <si>
    <t>2:12.65</t>
  </si>
  <si>
    <t>04.07.08</t>
  </si>
  <si>
    <t>2:12.69</t>
  </si>
  <si>
    <t>NZ|LCM|F|18|50 Breast</t>
  </si>
  <si>
    <t>31.80</t>
  </si>
  <si>
    <t>21.08.25</t>
  </si>
  <si>
    <t>32.33</t>
  </si>
  <si>
    <t>NZ|LCM|F|18|100 Breast</t>
  </si>
  <si>
    <t>1:08.65</t>
  </si>
  <si>
    <t>22.08.25</t>
  </si>
  <si>
    <t>NZ|LCM|F|18|200 Breast</t>
  </si>
  <si>
    <t>2:31.16</t>
  </si>
  <si>
    <t>2:32.03</t>
  </si>
  <si>
    <t>NZ|LCM|F|18|50 Fly</t>
  </si>
  <si>
    <t>26.34</t>
  </si>
  <si>
    <t>NZ|LCM|F|18|100 Fly</t>
  </si>
  <si>
    <t>28.07.13</t>
  </si>
  <si>
    <t>1:00.98</t>
  </si>
  <si>
    <t>NZ|LCM|F|18|200 Fly</t>
  </si>
  <si>
    <t>Megan Allan</t>
  </si>
  <si>
    <t>2:15.67</t>
  </si>
  <si>
    <t>23.04.01</t>
  </si>
  <si>
    <t>2:16.18</t>
  </si>
  <si>
    <t>NZ|LCM|F|18|200 IM</t>
  </si>
  <si>
    <t>2:15.68</t>
  </si>
  <si>
    <t>10.04.21</t>
  </si>
  <si>
    <t>2:17.00</t>
  </si>
  <si>
    <t>NZ|LCM|F|18|400 IM</t>
  </si>
  <si>
    <t>4:47.19</t>
  </si>
  <si>
    <t>06.04.21</t>
  </si>
  <si>
    <t>4:47.53</t>
  </si>
  <si>
    <t>Pre-meet Holder</t>
  </si>
  <si>
    <t>Pre-meet Time</t>
  </si>
  <si>
    <t>Final Holder</t>
  </si>
  <si>
    <t>Final Time</t>
  </si>
  <si>
    <t>Final Date</t>
  </si>
  <si>
    <t>Next-fastest auto-filled?</t>
  </si>
  <si>
    <t>Source URL</t>
  </si>
  <si>
    <t>51.29</t>
  </si>
  <si>
    <t>NO - same holder</t>
  </si>
  <si>
    <t>1:50.14</t>
  </si>
  <si>
    <t>23.45</t>
  </si>
  <si>
    <t>27.80</t>
  </si>
  <si>
    <t>Kevin Litherland</t>
  </si>
  <si>
    <t>Jonathan Duncan</t>
  </si>
  <si>
    <t>Mason Wang</t>
  </si>
  <si>
    <t>Wilrich Coetzee</t>
  </si>
  <si>
    <t>Hayden Church</t>
  </si>
  <si>
    <t>53.40</t>
  </si>
  <si>
    <t>Alyssa Lawson</t>
  </si>
  <si>
    <t>Brydie Whitehead</t>
  </si>
  <si>
    <t>Samantha Lucie-Smith</t>
  </si>
  <si>
    <t>2:06.82</t>
  </si>
  <si>
    <t>Amadika Atkinson</t>
  </si>
  <si>
    <t>59.99</t>
  </si>
  <si>
    <t>1:00.27</t>
  </si>
  <si>
    <t>Madeleine Wilson</t>
  </si>
  <si>
    <t>25.42</t>
  </si>
  <si>
    <t>Hanna Abdou</t>
  </si>
  <si>
    <t>58.16</t>
  </si>
  <si>
    <t>Lanihei Connolly</t>
  </si>
  <si>
    <t>1:07.36</t>
  </si>
  <si>
    <t>Laticia-Leigh Transom</t>
  </si>
  <si>
    <t>28.56</t>
  </si>
  <si>
    <t>Kayne Howat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</si>
</sst>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b/>
      <sz val="12"/>
      <color rgb="FF0C1B2A"/>
      <name val="Calibri"/>
    </font>
    <font>
      <b/>
      <sz val="11"/>
      <color rgb="FF0C1B2A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color rgb="FF7030A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C1B2A"/>
      </patternFill>
    </fill>
    <fill>
      <patternFill patternType="solid">
        <fgColor rgb="FFFFF4C2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wrapText="1"/>
    </xf>
    <xf numFmtId="0" fontId="4" fillId="6" borderId="0" xfId="0" applyFont="1" applyFill="1"/>
    <xf numFmtId="0" fontId="9" fillId="0" borderId="0" xfId="0" applyFont="1"/>
    <xf numFmtId="0" fontId="4" fillId="6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49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4" borderId="0" xfId="0" applyFont="1" applyFill="1" applyAlignment="1">
      <alignment vertical="center" wrapText="1"/>
    </xf>
    <xf numFmtId="49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 wrapText="1"/>
    </xf>
    <xf numFmtId="49" fontId="6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ZSCUpdates" displayName="tblNZSCUpdates" ref="A1:J20">
  <autoFilter ref="A1:J20" xr:uid="{00000000-0009-0000-0100-000002000000}"/>
  <tableColumns count="10">
    <tableColumn id="1" xr3:uid="{00000000-0010-0000-0100-000001000000}" name="Age"/>
    <tableColumn id="2" xr3:uid="{00000000-0010-0000-0100-000002000000}" name="Sex"/>
    <tableColumn id="3" xr3:uid="{00000000-0010-0000-0100-000003000000}" name="Event"/>
    <tableColumn id="4" xr3:uid="{00000000-0010-0000-0100-000004000000}" name="Pre-meet Holder"/>
    <tableColumn id="5" xr3:uid="{00000000-0010-0000-0100-000005000000}" name="Pre-meet Time"/>
    <tableColumn id="6" xr3:uid="{00000000-0010-0000-0100-000006000000}" name="Final Holder"/>
    <tableColumn id="7" xr3:uid="{00000000-0010-0000-0100-000007000000}" name="Final Time"/>
    <tableColumn id="8" xr3:uid="{00000000-0010-0000-0100-000008000000}" name="Final Date"/>
    <tableColumn id="9" xr3:uid="{00000000-0010-0000-0100-000009000000}" name="Next-fastest auto-filled?"/>
    <tableColumn id="10" xr3:uid="{00000000-0010-0000-0100-00000A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workbookViewId="0"/>
  </sheetViews>
  <sheetFormatPr defaultRowHeight="14.4" x14ac:dyDescent="0.3"/>
  <cols>
    <col min="1" max="1" width="44" customWidth="1"/>
    <col min="2" max="2" width="105" customWidth="1"/>
    <col min="3" max="8" width="18" customWidth="1"/>
  </cols>
  <sheetData>
    <row r="1" spans="1:8" ht="25.8" x14ac:dyDescent="0.5">
      <c r="A1" s="27" t="s">
        <v>0</v>
      </c>
      <c r="B1" s="26"/>
      <c r="C1" s="26"/>
      <c r="D1" s="26"/>
      <c r="E1" s="26"/>
      <c r="F1" s="26"/>
      <c r="G1" s="26"/>
      <c r="H1" s="26"/>
    </row>
    <row r="2" spans="1:8" ht="15.6" x14ac:dyDescent="0.3">
      <c r="A2" s="1" t="s">
        <v>1</v>
      </c>
    </row>
    <row r="3" spans="1:8" x14ac:dyDescent="0.3">
      <c r="A3" s="25" t="s">
        <v>2</v>
      </c>
      <c r="B3" s="26"/>
      <c r="C3" s="26"/>
      <c r="D3" s="26"/>
      <c r="E3" s="26"/>
      <c r="F3" s="26"/>
      <c r="G3" s="26"/>
      <c r="H3" s="26"/>
    </row>
    <row r="4" spans="1:8" x14ac:dyDescent="0.3">
      <c r="A4" s="26"/>
      <c r="B4" s="26"/>
      <c r="C4" s="26"/>
      <c r="D4" s="26"/>
      <c r="E4" s="26"/>
      <c r="F4" s="26"/>
      <c r="G4" s="26"/>
      <c r="H4" s="26"/>
    </row>
    <row r="6" spans="1:8" ht="30" customHeight="1" x14ac:dyDescent="0.3">
      <c r="A6" s="3" t="s">
        <v>3</v>
      </c>
      <c r="B6" s="25" t="s">
        <v>4</v>
      </c>
      <c r="C6" s="26"/>
      <c r="D6" s="26"/>
      <c r="E6" s="26"/>
      <c r="F6" s="26"/>
      <c r="G6" s="26"/>
      <c r="H6" s="26"/>
    </row>
    <row r="7" spans="1:8" ht="30" customHeight="1" x14ac:dyDescent="0.3">
      <c r="A7" s="3" t="s">
        <v>5</v>
      </c>
      <c r="B7" s="25" t="s">
        <v>6</v>
      </c>
      <c r="C7" s="26"/>
      <c r="D7" s="26"/>
      <c r="E7" s="26"/>
      <c r="F7" s="26"/>
      <c r="G7" s="26"/>
      <c r="H7" s="26"/>
    </row>
    <row r="8" spans="1:8" ht="30" customHeight="1" x14ac:dyDescent="0.3">
      <c r="A8" s="3" t="s">
        <v>7</v>
      </c>
      <c r="B8" s="25" t="s">
        <v>8</v>
      </c>
      <c r="C8" s="26"/>
      <c r="D8" s="26"/>
      <c r="E8" s="26"/>
      <c r="F8" s="26"/>
      <c r="G8" s="26"/>
      <c r="H8" s="26"/>
    </row>
    <row r="9" spans="1:8" ht="30" customHeight="1" x14ac:dyDescent="0.3">
      <c r="A9" s="3" t="s">
        <v>9</v>
      </c>
      <c r="B9" s="25" t="s">
        <v>10</v>
      </c>
      <c r="C9" s="26"/>
      <c r="D9" s="26"/>
      <c r="E9" s="26"/>
      <c r="F9" s="26"/>
      <c r="G9" s="26"/>
      <c r="H9" s="26"/>
    </row>
    <row r="10" spans="1:8" ht="30" customHeight="1" x14ac:dyDescent="0.3">
      <c r="A10" s="3" t="s">
        <v>11</v>
      </c>
      <c r="B10" s="25" t="s">
        <v>12</v>
      </c>
      <c r="C10" s="26"/>
      <c r="D10" s="26"/>
      <c r="E10" s="26"/>
      <c r="F10" s="26"/>
      <c r="G10" s="26"/>
      <c r="H10" s="26"/>
    </row>
    <row r="11" spans="1:8" ht="30" customHeight="1" x14ac:dyDescent="0.3">
      <c r="A11" s="3" t="s">
        <v>13</v>
      </c>
      <c r="B11" s="25" t="s">
        <v>14</v>
      </c>
      <c r="C11" s="26"/>
      <c r="D11" s="26"/>
      <c r="E11" s="26"/>
      <c r="F11" s="26"/>
      <c r="G11" s="26"/>
      <c r="H11" s="26"/>
    </row>
    <row r="12" spans="1:8" ht="30" customHeight="1" x14ac:dyDescent="0.3">
      <c r="A12" s="3" t="s">
        <v>15</v>
      </c>
      <c r="B12" s="25" t="s">
        <v>16</v>
      </c>
      <c r="C12" s="26"/>
      <c r="D12" s="26"/>
      <c r="E12" s="26"/>
      <c r="F12" s="26"/>
      <c r="G12" s="26"/>
      <c r="H12" s="26"/>
    </row>
    <row r="14" spans="1:8" x14ac:dyDescent="0.3">
      <c r="A14" s="6" t="s">
        <v>17</v>
      </c>
    </row>
    <row r="15" spans="1:8" x14ac:dyDescent="0.3">
      <c r="A15" s="7" t="s">
        <v>18</v>
      </c>
      <c r="B15">
        <v>420</v>
      </c>
    </row>
    <row r="16" spans="1:8" x14ac:dyDescent="0.3">
      <c r="A16" s="7" t="s">
        <v>19</v>
      </c>
      <c r="B16">
        <v>420</v>
      </c>
    </row>
    <row r="17" spans="1:2" x14ac:dyDescent="0.3">
      <c r="A17" s="7" t="s">
        <v>20</v>
      </c>
      <c r="B17">
        <v>19</v>
      </c>
    </row>
    <row r="18" spans="1:2" x14ac:dyDescent="0.3">
      <c r="A18" s="7" t="s">
        <v>21</v>
      </c>
      <c r="B18">
        <v>15</v>
      </c>
    </row>
    <row r="19" spans="1:2" x14ac:dyDescent="0.3">
      <c r="A19" s="7" t="s">
        <v>22</v>
      </c>
      <c r="B19">
        <v>3</v>
      </c>
    </row>
    <row r="20" spans="1:2" x14ac:dyDescent="0.3">
      <c r="A20" s="7" t="s">
        <v>23</v>
      </c>
      <c r="B20">
        <v>8</v>
      </c>
    </row>
    <row r="21" spans="1:2" x14ac:dyDescent="0.3">
      <c r="A21" s="7" t="s">
        <v>24</v>
      </c>
      <c r="B21">
        <v>409</v>
      </c>
    </row>
    <row r="22" spans="1:2" x14ac:dyDescent="0.3">
      <c r="A22" s="4" t="s">
        <v>25</v>
      </c>
      <c r="B22" s="3">
        <v>420</v>
      </c>
    </row>
    <row r="23" spans="1:2" x14ac:dyDescent="0.3">
      <c r="A23" s="4" t="s">
        <v>26</v>
      </c>
      <c r="B23" s="3">
        <v>216</v>
      </c>
    </row>
    <row r="24" spans="1:2" x14ac:dyDescent="0.3">
      <c r="A24" s="4" t="s">
        <v>27</v>
      </c>
      <c r="B24" s="3">
        <v>204</v>
      </c>
    </row>
    <row r="25" spans="1:2" x14ac:dyDescent="0.3">
      <c r="A25" s="4" t="s">
        <v>28</v>
      </c>
      <c r="B25" s="3">
        <v>19</v>
      </c>
    </row>
    <row r="26" spans="1:2" x14ac:dyDescent="0.3">
      <c r="A26" s="4" t="s">
        <v>29</v>
      </c>
      <c r="B26" s="3">
        <v>15</v>
      </c>
    </row>
    <row r="27" spans="1:2" x14ac:dyDescent="0.3">
      <c r="A27" s="4" t="s">
        <v>30</v>
      </c>
      <c r="B27" s="3">
        <v>3</v>
      </c>
    </row>
    <row r="28" spans="1:2" x14ac:dyDescent="0.3">
      <c r="A28" s="4" t="s">
        <v>31</v>
      </c>
      <c r="B28" s="3">
        <v>8</v>
      </c>
    </row>
    <row r="29" spans="1:2" x14ac:dyDescent="0.3">
      <c r="A29" s="4" t="s">
        <v>32</v>
      </c>
      <c r="B29" s="3">
        <v>394</v>
      </c>
    </row>
  </sheetData>
  <mergeCells count="9">
    <mergeCell ref="B12:H12"/>
    <mergeCell ref="B6:H6"/>
    <mergeCell ref="B7:H7"/>
    <mergeCell ref="A1:H1"/>
    <mergeCell ref="B10:H10"/>
    <mergeCell ref="B11:H11"/>
    <mergeCell ref="B8:H8"/>
    <mergeCell ref="A3:H4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1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25" customWidth="1"/>
    <col min="2" max="2" width="9" customWidth="1"/>
    <col min="3" max="3" width="10" customWidth="1"/>
    <col min="4" max="4" width="7" customWidth="1"/>
    <col min="5" max="5" width="15" customWidth="1"/>
    <col min="6" max="6" width="31" customWidth="1"/>
    <col min="7" max="7" width="14" customWidth="1"/>
    <col min="8" max="8" width="20" customWidth="1"/>
    <col min="9" max="9" width="45" customWidth="1"/>
    <col min="10" max="10" width="18" customWidth="1"/>
    <col min="11" max="11" width="13" customWidth="1"/>
    <col min="12" max="12" width="20" customWidth="1"/>
    <col min="13" max="13" width="29" customWidth="1"/>
    <col min="14" max="15" width="18" customWidth="1"/>
    <col min="16" max="16" width="44" customWidth="1"/>
    <col min="17" max="17" width="13" customWidth="1"/>
    <col min="18" max="18" width="60" customWidth="1"/>
    <col min="19" max="19" width="14" hidden="1" customWidth="1"/>
    <col min="20" max="20" width="20" hidden="1" customWidth="1"/>
  </cols>
  <sheetData>
    <row r="1" spans="1:20" ht="34.049999999999997" customHeight="1" x14ac:dyDescent="0.3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</row>
    <row r="2" spans="1:20" ht="28.8" x14ac:dyDescent="0.3">
      <c r="A2" s="9" t="s">
        <v>53</v>
      </c>
      <c r="B2" s="10" t="s">
        <v>54</v>
      </c>
      <c r="C2" s="10" t="s">
        <v>55</v>
      </c>
      <c r="D2" s="10">
        <v>13</v>
      </c>
      <c r="E2" s="10" t="s">
        <v>56</v>
      </c>
      <c r="F2" s="11" t="s">
        <v>57</v>
      </c>
      <c r="G2" s="12" t="s">
        <v>58</v>
      </c>
      <c r="H2" s="11" t="s">
        <v>59</v>
      </c>
      <c r="I2" s="11" t="s">
        <v>60</v>
      </c>
      <c r="J2" s="10"/>
      <c r="K2" s="10" t="s">
        <v>61</v>
      </c>
      <c r="L2" s="13" t="s">
        <v>62</v>
      </c>
      <c r="M2" s="14"/>
      <c r="N2" s="15" t="s">
        <v>63</v>
      </c>
      <c r="O2" s="16"/>
      <c r="P2" s="14" t="s">
        <v>64</v>
      </c>
      <c r="Q2" s="17">
        <f t="shared" ref="Q2:Q33" si="0">IF(OR(S2="",T2=""),"",(T2-S2)/T2)</f>
        <v>2.4783147459727442E-2</v>
      </c>
      <c r="R2" s="11"/>
      <c r="S2" s="18">
        <f t="shared" ref="S2:S65" si="1">IF(G2="","",IF(ISNUMBER(SEARCH(":",G2)),VALUE(LEFT(G2,SEARCH(":",G2)-1))*60+VALUE(MID(G2,SEARCH(":",G2)+1,99)),VALUE(G2)))</f>
        <v>23.61</v>
      </c>
      <c r="T2" s="18">
        <f t="shared" ref="T2:T65" si="2">IF(N2="","",IF(ISNUMBER(SEARCH(":",N2)),VALUE(LEFT(N2,SEARCH(":",N2)-1))*60+VALUE(MID(N2,SEARCH(":",N2)+1,99)),VALUE(N2)))</f>
        <v>24.21</v>
      </c>
    </row>
    <row r="3" spans="1:20" ht="28.8" x14ac:dyDescent="0.3">
      <c r="A3" s="9" t="s">
        <v>65</v>
      </c>
      <c r="B3" s="10" t="s">
        <v>54</v>
      </c>
      <c r="C3" s="10" t="s">
        <v>55</v>
      </c>
      <c r="D3" s="10">
        <v>13</v>
      </c>
      <c r="E3" s="10" t="s">
        <v>66</v>
      </c>
      <c r="F3" s="11" t="s">
        <v>57</v>
      </c>
      <c r="G3" s="12" t="s">
        <v>67</v>
      </c>
      <c r="H3" s="11" t="s">
        <v>68</v>
      </c>
      <c r="I3" s="11" t="s">
        <v>60</v>
      </c>
      <c r="J3" s="10"/>
      <c r="K3" s="10" t="s">
        <v>61</v>
      </c>
      <c r="L3" s="13" t="s">
        <v>62</v>
      </c>
      <c r="M3" s="14" t="s">
        <v>1750</v>
      </c>
      <c r="N3" s="15" t="s">
        <v>1751</v>
      </c>
      <c r="O3" s="16"/>
      <c r="P3" s="14" t="s">
        <v>64</v>
      </c>
      <c r="Q3" s="17">
        <f t="shared" si="0"/>
        <v>5.2808988764044953E-2</v>
      </c>
      <c r="R3" s="11"/>
      <c r="S3" s="18">
        <f t="shared" si="1"/>
        <v>50.58</v>
      </c>
      <c r="T3" s="18">
        <f t="shared" si="2"/>
        <v>53.4</v>
      </c>
    </row>
    <row r="4" spans="1:20" ht="28.8" x14ac:dyDescent="0.3">
      <c r="A4" s="9" t="s">
        <v>69</v>
      </c>
      <c r="B4" s="10" t="s">
        <v>54</v>
      </c>
      <c r="C4" s="10" t="s">
        <v>55</v>
      </c>
      <c r="D4" s="10">
        <v>13</v>
      </c>
      <c r="E4" s="10" t="s">
        <v>70</v>
      </c>
      <c r="F4" s="11" t="s">
        <v>57</v>
      </c>
      <c r="G4" s="12" t="s">
        <v>71</v>
      </c>
      <c r="H4" s="11" t="s">
        <v>72</v>
      </c>
      <c r="I4" s="11" t="s">
        <v>60</v>
      </c>
      <c r="J4" s="10"/>
      <c r="K4" s="10" t="s">
        <v>61</v>
      </c>
      <c r="L4" s="13" t="s">
        <v>62</v>
      </c>
      <c r="M4" s="14" t="s">
        <v>1750</v>
      </c>
      <c r="N4" s="15" t="s">
        <v>73</v>
      </c>
      <c r="O4" s="16"/>
      <c r="P4" s="14" t="s">
        <v>64</v>
      </c>
      <c r="Q4" s="17">
        <f t="shared" si="0"/>
        <v>7.2466230566646847E-2</v>
      </c>
      <c r="R4" s="11"/>
      <c r="S4" s="18">
        <f t="shared" si="1"/>
        <v>109.18</v>
      </c>
      <c r="T4" s="18">
        <f t="shared" si="2"/>
        <v>117.71000000000001</v>
      </c>
    </row>
    <row r="5" spans="1:20" ht="28.8" x14ac:dyDescent="0.3">
      <c r="A5" s="9" t="s">
        <v>74</v>
      </c>
      <c r="B5" s="10" t="s">
        <v>54</v>
      </c>
      <c r="C5" s="10" t="s">
        <v>55</v>
      </c>
      <c r="D5" s="10">
        <v>13</v>
      </c>
      <c r="E5" s="10" t="s">
        <v>75</v>
      </c>
      <c r="F5" s="11" t="s">
        <v>57</v>
      </c>
      <c r="G5" s="12" t="s">
        <v>76</v>
      </c>
      <c r="H5" s="11" t="s">
        <v>77</v>
      </c>
      <c r="I5" s="11" t="s">
        <v>60</v>
      </c>
      <c r="J5" s="10"/>
      <c r="K5" s="10" t="s">
        <v>61</v>
      </c>
      <c r="L5" s="13" t="s">
        <v>62</v>
      </c>
      <c r="M5" s="14" t="s">
        <v>81</v>
      </c>
      <c r="N5" s="15" t="s">
        <v>78</v>
      </c>
      <c r="O5" s="16"/>
      <c r="P5" s="14" t="s">
        <v>64</v>
      </c>
      <c r="Q5" s="17">
        <f t="shared" si="0"/>
        <v>5.0106310426445255E-2</v>
      </c>
      <c r="R5" s="11"/>
      <c r="S5" s="18">
        <f t="shared" si="1"/>
        <v>236.78</v>
      </c>
      <c r="T5" s="18">
        <f t="shared" si="2"/>
        <v>249.27</v>
      </c>
    </row>
    <row r="6" spans="1:20" ht="28.8" x14ac:dyDescent="0.3">
      <c r="A6" s="9" t="s">
        <v>79</v>
      </c>
      <c r="B6" s="10" t="s">
        <v>54</v>
      </c>
      <c r="C6" s="10" t="s">
        <v>55</v>
      </c>
      <c r="D6" s="10">
        <v>13</v>
      </c>
      <c r="E6" s="10" t="s">
        <v>80</v>
      </c>
      <c r="F6" s="11" t="s">
        <v>81</v>
      </c>
      <c r="G6" s="12" t="s">
        <v>82</v>
      </c>
      <c r="H6" s="11" t="s">
        <v>83</v>
      </c>
      <c r="I6" s="11" t="s">
        <v>60</v>
      </c>
      <c r="J6" s="10"/>
      <c r="K6" s="10" t="s">
        <v>61</v>
      </c>
      <c r="L6" s="13" t="s">
        <v>62</v>
      </c>
      <c r="M6" s="14"/>
      <c r="N6" s="15" t="s">
        <v>84</v>
      </c>
      <c r="O6" s="16"/>
      <c r="P6" s="14" t="s">
        <v>64</v>
      </c>
      <c r="Q6" s="17">
        <f t="shared" si="0"/>
        <v>2.1382177686662902E-2</v>
      </c>
      <c r="R6" s="11"/>
      <c r="S6" s="18">
        <f t="shared" si="1"/>
        <v>510.77</v>
      </c>
      <c r="T6" s="18">
        <f t="shared" si="2"/>
        <v>521.92999999999995</v>
      </c>
    </row>
    <row r="7" spans="1:20" ht="28.8" x14ac:dyDescent="0.3">
      <c r="A7" s="9" t="s">
        <v>85</v>
      </c>
      <c r="B7" s="10" t="s">
        <v>54</v>
      </c>
      <c r="C7" s="10" t="s">
        <v>55</v>
      </c>
      <c r="D7" s="10">
        <v>13</v>
      </c>
      <c r="E7" s="10" t="s">
        <v>86</v>
      </c>
      <c r="F7" s="11" t="s">
        <v>87</v>
      </c>
      <c r="G7" s="12" t="s">
        <v>88</v>
      </c>
      <c r="H7" s="11" t="s">
        <v>89</v>
      </c>
      <c r="I7" s="11" t="s">
        <v>60</v>
      </c>
      <c r="J7" s="10"/>
      <c r="K7" s="10" t="s">
        <v>61</v>
      </c>
      <c r="L7" s="13" t="s">
        <v>62</v>
      </c>
      <c r="M7" s="14"/>
      <c r="N7" s="15" t="s">
        <v>90</v>
      </c>
      <c r="O7" s="16"/>
      <c r="P7" s="14" t="s">
        <v>64</v>
      </c>
      <c r="Q7" s="17">
        <f t="shared" si="0"/>
        <v>6.1898627158903114E-3</v>
      </c>
      <c r="R7" s="11"/>
      <c r="S7" s="18">
        <f t="shared" si="1"/>
        <v>987.41</v>
      </c>
      <c r="T7" s="18">
        <f t="shared" si="2"/>
        <v>993.56</v>
      </c>
    </row>
    <row r="8" spans="1:20" ht="28.8" x14ac:dyDescent="0.3">
      <c r="A8" s="9" t="s">
        <v>91</v>
      </c>
      <c r="B8" s="10" t="s">
        <v>54</v>
      </c>
      <c r="C8" s="10" t="s">
        <v>55</v>
      </c>
      <c r="D8" s="10">
        <v>13</v>
      </c>
      <c r="E8" s="10" t="s">
        <v>92</v>
      </c>
      <c r="F8" s="11" t="s">
        <v>93</v>
      </c>
      <c r="G8" s="12" t="s">
        <v>94</v>
      </c>
      <c r="H8" s="11" t="s">
        <v>95</v>
      </c>
      <c r="I8" s="11" t="s">
        <v>60</v>
      </c>
      <c r="J8" s="10"/>
      <c r="K8" s="10" t="s">
        <v>61</v>
      </c>
      <c r="L8" s="13" t="s">
        <v>62</v>
      </c>
      <c r="M8" s="14"/>
      <c r="N8" s="15" t="s">
        <v>96</v>
      </c>
      <c r="O8" s="16"/>
      <c r="P8" s="14" t="s">
        <v>64</v>
      </c>
      <c r="Q8" s="17">
        <f t="shared" si="0"/>
        <v>1.7953321364452424E-2</v>
      </c>
      <c r="R8" s="11"/>
      <c r="S8" s="18">
        <f t="shared" si="1"/>
        <v>27.35</v>
      </c>
      <c r="T8" s="18">
        <f t="shared" si="2"/>
        <v>27.85</v>
      </c>
    </row>
    <row r="9" spans="1:20" ht="28.8" x14ac:dyDescent="0.3">
      <c r="A9" s="9" t="s">
        <v>97</v>
      </c>
      <c r="B9" s="10" t="s">
        <v>54</v>
      </c>
      <c r="C9" s="10" t="s">
        <v>55</v>
      </c>
      <c r="D9" s="10">
        <v>13</v>
      </c>
      <c r="E9" s="10" t="s">
        <v>98</v>
      </c>
      <c r="F9" s="11" t="s">
        <v>57</v>
      </c>
      <c r="G9" s="12" t="s">
        <v>99</v>
      </c>
      <c r="H9" s="11" t="s">
        <v>100</v>
      </c>
      <c r="I9" s="11" t="s">
        <v>60</v>
      </c>
      <c r="J9" s="10"/>
      <c r="K9" s="10" t="s">
        <v>61</v>
      </c>
      <c r="L9" s="13" t="s">
        <v>62</v>
      </c>
      <c r="M9" s="14"/>
      <c r="N9" s="15" t="s">
        <v>101</v>
      </c>
      <c r="O9" s="16"/>
      <c r="P9" s="14" t="s">
        <v>64</v>
      </c>
      <c r="Q9" s="17">
        <f t="shared" si="0"/>
        <v>1.9046013821001104E-2</v>
      </c>
      <c r="R9" s="11"/>
      <c r="S9" s="18">
        <f t="shared" si="1"/>
        <v>58.2</v>
      </c>
      <c r="T9" s="18">
        <f t="shared" si="2"/>
        <v>59.33</v>
      </c>
    </row>
    <row r="10" spans="1:20" ht="28.8" x14ac:dyDescent="0.3">
      <c r="A10" s="9" t="s">
        <v>102</v>
      </c>
      <c r="B10" s="10" t="s">
        <v>54</v>
      </c>
      <c r="C10" s="10" t="s">
        <v>55</v>
      </c>
      <c r="D10" s="10">
        <v>13</v>
      </c>
      <c r="E10" s="10" t="s">
        <v>103</v>
      </c>
      <c r="F10" s="11" t="s">
        <v>104</v>
      </c>
      <c r="G10" s="12" t="s">
        <v>105</v>
      </c>
      <c r="H10" s="11" t="s">
        <v>106</v>
      </c>
      <c r="I10" s="11" t="s">
        <v>60</v>
      </c>
      <c r="J10" s="10"/>
      <c r="K10" s="10" t="s">
        <v>61</v>
      </c>
      <c r="L10" s="13" t="s">
        <v>62</v>
      </c>
      <c r="M10" s="14"/>
      <c r="N10" s="15" t="s">
        <v>107</v>
      </c>
      <c r="O10" s="16"/>
      <c r="P10" s="14" t="s">
        <v>64</v>
      </c>
      <c r="Q10" s="17">
        <f t="shared" si="0"/>
        <v>1.4279026217228451E-2</v>
      </c>
      <c r="R10" s="11"/>
      <c r="S10" s="18">
        <f t="shared" si="1"/>
        <v>126.33</v>
      </c>
      <c r="T10" s="18">
        <f t="shared" si="2"/>
        <v>128.16</v>
      </c>
    </row>
    <row r="11" spans="1:20" ht="28.8" x14ac:dyDescent="0.3">
      <c r="A11" s="9" t="s">
        <v>108</v>
      </c>
      <c r="B11" s="10" t="s">
        <v>54</v>
      </c>
      <c r="C11" s="10" t="s">
        <v>55</v>
      </c>
      <c r="D11" s="10">
        <v>13</v>
      </c>
      <c r="E11" s="10" t="s">
        <v>109</v>
      </c>
      <c r="F11" s="11" t="s">
        <v>110</v>
      </c>
      <c r="G11" s="12" t="s">
        <v>111</v>
      </c>
      <c r="H11" s="11" t="s">
        <v>112</v>
      </c>
      <c r="I11" s="11" t="s">
        <v>60</v>
      </c>
      <c r="J11" s="10"/>
      <c r="K11" s="10" t="s">
        <v>61</v>
      </c>
      <c r="L11" s="13" t="s">
        <v>62</v>
      </c>
      <c r="M11" s="14"/>
      <c r="N11" s="15" t="s">
        <v>113</v>
      </c>
      <c r="O11" s="16"/>
      <c r="P11" s="14" t="s">
        <v>64</v>
      </c>
      <c r="Q11" s="17">
        <f t="shared" si="0"/>
        <v>1.0756192959582734E-2</v>
      </c>
      <c r="R11" s="11"/>
      <c r="S11" s="18">
        <f t="shared" si="1"/>
        <v>30.35</v>
      </c>
      <c r="T11" s="18">
        <f t="shared" si="2"/>
        <v>30.68</v>
      </c>
    </row>
    <row r="12" spans="1:20" ht="28.8" x14ac:dyDescent="0.3">
      <c r="A12" s="9" t="s">
        <v>114</v>
      </c>
      <c r="B12" s="10" t="s">
        <v>54</v>
      </c>
      <c r="C12" s="10" t="s">
        <v>55</v>
      </c>
      <c r="D12" s="10">
        <v>13</v>
      </c>
      <c r="E12" s="10" t="s">
        <v>115</v>
      </c>
      <c r="F12" s="11" t="s">
        <v>110</v>
      </c>
      <c r="G12" s="12" t="s">
        <v>116</v>
      </c>
      <c r="H12" s="11" t="s">
        <v>117</v>
      </c>
      <c r="I12" s="11" t="s">
        <v>60</v>
      </c>
      <c r="J12" s="10"/>
      <c r="K12" s="10" t="s">
        <v>61</v>
      </c>
      <c r="L12" s="13" t="s">
        <v>62</v>
      </c>
      <c r="M12" s="14"/>
      <c r="N12" s="15" t="s">
        <v>118</v>
      </c>
      <c r="O12" s="16"/>
      <c r="P12" s="14" t="s">
        <v>64</v>
      </c>
      <c r="Q12" s="17">
        <f t="shared" si="0"/>
        <v>6.5897858319604275E-3</v>
      </c>
      <c r="R12" s="11"/>
      <c r="S12" s="18">
        <f t="shared" si="1"/>
        <v>66.33</v>
      </c>
      <c r="T12" s="18">
        <f t="shared" si="2"/>
        <v>66.77</v>
      </c>
    </row>
    <row r="13" spans="1:20" ht="28.8" x14ac:dyDescent="0.3">
      <c r="A13" s="9" t="s">
        <v>119</v>
      </c>
      <c r="B13" s="10" t="s">
        <v>54</v>
      </c>
      <c r="C13" s="10" t="s">
        <v>55</v>
      </c>
      <c r="D13" s="10">
        <v>13</v>
      </c>
      <c r="E13" s="10" t="s">
        <v>120</v>
      </c>
      <c r="F13" s="11" t="s">
        <v>121</v>
      </c>
      <c r="G13" s="12" t="s">
        <v>122</v>
      </c>
      <c r="H13" s="11" t="s">
        <v>123</v>
      </c>
      <c r="I13" s="11" t="s">
        <v>60</v>
      </c>
      <c r="J13" s="10"/>
      <c r="K13" s="10" t="s">
        <v>61</v>
      </c>
      <c r="L13" s="13" t="s">
        <v>62</v>
      </c>
      <c r="M13" s="14"/>
      <c r="N13" s="15" t="s">
        <v>124</v>
      </c>
      <c r="O13" s="16"/>
      <c r="P13" s="14" t="s">
        <v>64</v>
      </c>
      <c r="Q13" s="17">
        <f t="shared" si="0"/>
        <v>1.4221297259798898E-2</v>
      </c>
      <c r="R13" s="11"/>
      <c r="S13" s="18">
        <f t="shared" si="1"/>
        <v>142.1</v>
      </c>
      <c r="T13" s="18">
        <f t="shared" si="2"/>
        <v>144.15</v>
      </c>
    </row>
    <row r="14" spans="1:20" ht="28.8" x14ac:dyDescent="0.3">
      <c r="A14" s="9" t="s">
        <v>125</v>
      </c>
      <c r="B14" s="10" t="s">
        <v>54</v>
      </c>
      <c r="C14" s="10" t="s">
        <v>55</v>
      </c>
      <c r="D14" s="10">
        <v>13</v>
      </c>
      <c r="E14" s="10" t="s">
        <v>126</v>
      </c>
      <c r="F14" s="11" t="s">
        <v>57</v>
      </c>
      <c r="G14" s="12" t="s">
        <v>127</v>
      </c>
      <c r="H14" s="11" t="s">
        <v>68</v>
      </c>
      <c r="I14" s="11" t="s">
        <v>60</v>
      </c>
      <c r="J14" s="10"/>
      <c r="K14" s="10" t="s">
        <v>61</v>
      </c>
      <c r="L14" s="13" t="s">
        <v>62</v>
      </c>
      <c r="M14" s="14" t="s">
        <v>1112</v>
      </c>
      <c r="N14" s="15" t="s">
        <v>128</v>
      </c>
      <c r="O14" s="16"/>
      <c r="P14" s="14" t="s">
        <v>64</v>
      </c>
      <c r="Q14" s="17">
        <f t="shared" si="0"/>
        <v>2.9523088569265749E-2</v>
      </c>
      <c r="R14" s="11"/>
      <c r="S14" s="18">
        <f t="shared" si="1"/>
        <v>25.64</v>
      </c>
      <c r="T14" s="18">
        <f t="shared" si="2"/>
        <v>26.42</v>
      </c>
    </row>
    <row r="15" spans="1:20" ht="28.8" x14ac:dyDescent="0.3">
      <c r="A15" s="9" t="s">
        <v>129</v>
      </c>
      <c r="B15" s="10" t="s">
        <v>54</v>
      </c>
      <c r="C15" s="10" t="s">
        <v>55</v>
      </c>
      <c r="D15" s="10">
        <v>13</v>
      </c>
      <c r="E15" s="10" t="s">
        <v>130</v>
      </c>
      <c r="F15" s="11" t="s">
        <v>57</v>
      </c>
      <c r="G15" s="12" t="s">
        <v>131</v>
      </c>
      <c r="H15" s="11" t="s">
        <v>132</v>
      </c>
      <c r="I15" s="11" t="s">
        <v>60</v>
      </c>
      <c r="J15" s="10"/>
      <c r="K15" s="10" t="s">
        <v>61</v>
      </c>
      <c r="L15" s="13" t="s">
        <v>62</v>
      </c>
      <c r="M15" s="14" t="s">
        <v>1748</v>
      </c>
      <c r="N15" s="15" t="s">
        <v>133</v>
      </c>
      <c r="O15" s="16"/>
      <c r="P15" s="14" t="s">
        <v>64</v>
      </c>
      <c r="Q15" s="17">
        <f t="shared" si="0"/>
        <v>3.5429733853195512E-2</v>
      </c>
      <c r="R15" s="11"/>
      <c r="S15" s="18">
        <f t="shared" si="1"/>
        <v>56.9</v>
      </c>
      <c r="T15" s="18">
        <f t="shared" si="2"/>
        <v>58.99</v>
      </c>
    </row>
    <row r="16" spans="1:20" ht="28.8" x14ac:dyDescent="0.3">
      <c r="A16" s="9" t="s">
        <v>134</v>
      </c>
      <c r="B16" s="10" t="s">
        <v>54</v>
      </c>
      <c r="C16" s="10" t="s">
        <v>55</v>
      </c>
      <c r="D16" s="10">
        <v>13</v>
      </c>
      <c r="E16" s="10" t="s">
        <v>135</v>
      </c>
      <c r="F16" s="11" t="s">
        <v>136</v>
      </c>
      <c r="G16" s="12" t="s">
        <v>137</v>
      </c>
      <c r="H16" s="11" t="s">
        <v>138</v>
      </c>
      <c r="I16" s="11" t="s">
        <v>60</v>
      </c>
      <c r="J16" s="10"/>
      <c r="K16" s="10" t="s">
        <v>61</v>
      </c>
      <c r="L16" s="13" t="s">
        <v>62</v>
      </c>
      <c r="M16" s="14"/>
      <c r="N16" s="15" t="s">
        <v>139</v>
      </c>
      <c r="O16" s="16"/>
      <c r="P16" s="14" t="s">
        <v>64</v>
      </c>
      <c r="Q16" s="17">
        <f t="shared" si="0"/>
        <v>8.1134364573854506E-3</v>
      </c>
      <c r="R16" s="11"/>
      <c r="S16" s="18">
        <f t="shared" si="1"/>
        <v>130.81</v>
      </c>
      <c r="T16" s="18">
        <f t="shared" si="2"/>
        <v>131.88</v>
      </c>
    </row>
    <row r="17" spans="1:20" ht="28.8" x14ac:dyDescent="0.3">
      <c r="A17" s="9" t="s">
        <v>140</v>
      </c>
      <c r="B17" s="10" t="s">
        <v>54</v>
      </c>
      <c r="C17" s="10" t="s">
        <v>55</v>
      </c>
      <c r="D17" s="10">
        <v>13</v>
      </c>
      <c r="E17" s="10" t="s">
        <v>141</v>
      </c>
      <c r="F17" s="11" t="s">
        <v>57</v>
      </c>
      <c r="G17" s="12" t="s">
        <v>142</v>
      </c>
      <c r="H17" s="11" t="s">
        <v>143</v>
      </c>
      <c r="I17" s="11" t="s">
        <v>60</v>
      </c>
      <c r="J17" s="10"/>
      <c r="K17" s="10" t="s">
        <v>61</v>
      </c>
      <c r="L17" s="13" t="s">
        <v>62</v>
      </c>
      <c r="M17" s="14" t="s">
        <v>136</v>
      </c>
      <c r="N17" s="15" t="s">
        <v>144</v>
      </c>
      <c r="O17" s="16"/>
      <c r="P17" s="14" t="s">
        <v>64</v>
      </c>
      <c r="Q17" s="17">
        <f t="shared" si="0"/>
        <v>4.9463065408395693E-2</v>
      </c>
      <c r="R17" s="11"/>
      <c r="S17" s="18">
        <f t="shared" si="1"/>
        <v>58.42</v>
      </c>
      <c r="T17" s="18">
        <f t="shared" si="2"/>
        <v>61.46</v>
      </c>
    </row>
    <row r="18" spans="1:20" ht="28.8" x14ac:dyDescent="0.3">
      <c r="A18" s="9" t="s">
        <v>145</v>
      </c>
      <c r="B18" s="10" t="s">
        <v>54</v>
      </c>
      <c r="C18" s="10" t="s">
        <v>55</v>
      </c>
      <c r="D18" s="10">
        <v>13</v>
      </c>
      <c r="E18" s="10" t="s">
        <v>146</v>
      </c>
      <c r="F18" s="11" t="s">
        <v>57</v>
      </c>
      <c r="G18" s="12" t="s">
        <v>147</v>
      </c>
      <c r="H18" s="11" t="s">
        <v>59</v>
      </c>
      <c r="I18" s="11" t="s">
        <v>60</v>
      </c>
      <c r="J18" s="10"/>
      <c r="K18" s="10" t="s">
        <v>61</v>
      </c>
      <c r="L18" s="13" t="s">
        <v>62</v>
      </c>
      <c r="M18" s="14" t="s">
        <v>104</v>
      </c>
      <c r="N18" s="15" t="s">
        <v>148</v>
      </c>
      <c r="O18" s="16"/>
      <c r="P18" s="14" t="s">
        <v>64</v>
      </c>
      <c r="Q18" s="17">
        <f t="shared" si="0"/>
        <v>5.79601053820097E-2</v>
      </c>
      <c r="R18" s="11"/>
      <c r="S18" s="18">
        <f t="shared" si="1"/>
        <v>125.15</v>
      </c>
      <c r="T18" s="18">
        <f t="shared" si="2"/>
        <v>132.85</v>
      </c>
    </row>
    <row r="19" spans="1:20" ht="28.8" x14ac:dyDescent="0.3">
      <c r="A19" s="9" t="s">
        <v>149</v>
      </c>
      <c r="B19" s="10" t="s">
        <v>54</v>
      </c>
      <c r="C19" s="10" t="s">
        <v>55</v>
      </c>
      <c r="D19" s="10">
        <v>13</v>
      </c>
      <c r="E19" s="10" t="s">
        <v>150</v>
      </c>
      <c r="F19" s="11" t="s">
        <v>136</v>
      </c>
      <c r="G19" s="12" t="s">
        <v>151</v>
      </c>
      <c r="H19" s="11" t="s">
        <v>152</v>
      </c>
      <c r="I19" s="11" t="s">
        <v>60</v>
      </c>
      <c r="J19" s="10"/>
      <c r="K19" s="10" t="s">
        <v>61</v>
      </c>
      <c r="L19" s="13" t="s">
        <v>62</v>
      </c>
      <c r="M19" s="14"/>
      <c r="N19" s="15" t="s">
        <v>153</v>
      </c>
      <c r="O19" s="16"/>
      <c r="P19" s="14" t="s">
        <v>64</v>
      </c>
      <c r="Q19" s="17">
        <f t="shared" si="0"/>
        <v>1.7698799900288345E-2</v>
      </c>
      <c r="R19" s="11"/>
      <c r="S19" s="18">
        <f t="shared" si="1"/>
        <v>275.84000000000003</v>
      </c>
      <c r="T19" s="18">
        <f t="shared" si="2"/>
        <v>280.81</v>
      </c>
    </row>
    <row r="20" spans="1:20" ht="28.8" x14ac:dyDescent="0.3">
      <c r="A20" s="9" t="s">
        <v>154</v>
      </c>
      <c r="B20" s="10" t="s">
        <v>54</v>
      </c>
      <c r="C20" s="10" t="s">
        <v>55</v>
      </c>
      <c r="D20" s="10">
        <v>14</v>
      </c>
      <c r="E20" s="10" t="s">
        <v>56</v>
      </c>
      <c r="F20" s="11" t="s">
        <v>57</v>
      </c>
      <c r="G20" s="12" t="s">
        <v>155</v>
      </c>
      <c r="H20" s="11" t="s">
        <v>156</v>
      </c>
      <c r="I20" s="11" t="s">
        <v>157</v>
      </c>
      <c r="J20" s="10" t="s">
        <v>158</v>
      </c>
      <c r="K20" s="10" t="s">
        <v>61</v>
      </c>
      <c r="L20" s="13" t="s">
        <v>62</v>
      </c>
      <c r="M20" s="14"/>
      <c r="N20" s="15" t="s">
        <v>159</v>
      </c>
      <c r="O20" s="16"/>
      <c r="P20" s="14" t="s">
        <v>64</v>
      </c>
      <c r="Q20" s="17">
        <f t="shared" si="0"/>
        <v>1.8683651804670968E-2</v>
      </c>
      <c r="R20" s="11" t="s">
        <v>160</v>
      </c>
      <c r="S20" s="18">
        <f t="shared" si="1"/>
        <v>23.11</v>
      </c>
      <c r="T20" s="18">
        <f t="shared" si="2"/>
        <v>23.55</v>
      </c>
    </row>
    <row r="21" spans="1:20" ht="28.8" x14ac:dyDescent="0.3">
      <c r="A21" s="9" t="s">
        <v>161</v>
      </c>
      <c r="B21" s="10" t="s">
        <v>54</v>
      </c>
      <c r="C21" s="10" t="s">
        <v>55</v>
      </c>
      <c r="D21" s="10">
        <v>14</v>
      </c>
      <c r="E21" s="10" t="s">
        <v>66</v>
      </c>
      <c r="F21" s="11" t="s">
        <v>57</v>
      </c>
      <c r="G21" s="12" t="s">
        <v>162</v>
      </c>
      <c r="H21" s="11" t="s">
        <v>156</v>
      </c>
      <c r="I21" s="11" t="s">
        <v>157</v>
      </c>
      <c r="J21" s="10" t="s">
        <v>158</v>
      </c>
      <c r="K21" s="10" t="s">
        <v>61</v>
      </c>
      <c r="L21" s="13" t="s">
        <v>62</v>
      </c>
      <c r="M21" s="14"/>
      <c r="N21" s="15" t="s">
        <v>163</v>
      </c>
      <c r="O21" s="16"/>
      <c r="P21" s="14" t="s">
        <v>64</v>
      </c>
      <c r="Q21" s="17">
        <f t="shared" si="0"/>
        <v>2.6448852586542188E-2</v>
      </c>
      <c r="R21" s="11" t="s">
        <v>160</v>
      </c>
      <c r="S21" s="18">
        <f t="shared" si="1"/>
        <v>50.06</v>
      </c>
      <c r="T21" s="18">
        <f t="shared" si="2"/>
        <v>51.42</v>
      </c>
    </row>
    <row r="22" spans="1:20" ht="28.8" x14ac:dyDescent="0.3">
      <c r="A22" s="9" t="s">
        <v>164</v>
      </c>
      <c r="B22" s="10" t="s">
        <v>54</v>
      </c>
      <c r="C22" s="10" t="s">
        <v>55</v>
      </c>
      <c r="D22" s="10">
        <v>14</v>
      </c>
      <c r="E22" s="10" t="s">
        <v>70</v>
      </c>
      <c r="F22" s="11" t="s">
        <v>57</v>
      </c>
      <c r="G22" s="12" t="s">
        <v>165</v>
      </c>
      <c r="H22" s="11" t="s">
        <v>166</v>
      </c>
      <c r="I22" s="11" t="s">
        <v>157</v>
      </c>
      <c r="J22" s="10" t="s">
        <v>158</v>
      </c>
      <c r="K22" s="10" t="s">
        <v>61</v>
      </c>
      <c r="L22" s="13" t="s">
        <v>62</v>
      </c>
      <c r="M22" s="14" t="s">
        <v>169</v>
      </c>
      <c r="N22" s="15" t="s">
        <v>167</v>
      </c>
      <c r="O22" s="16"/>
      <c r="P22" s="14" t="s">
        <v>64</v>
      </c>
      <c r="Q22" s="17">
        <f t="shared" si="0"/>
        <v>3.9527447148694286E-2</v>
      </c>
      <c r="R22" s="11" t="s">
        <v>160</v>
      </c>
      <c r="S22" s="18">
        <f t="shared" si="1"/>
        <v>108.13</v>
      </c>
      <c r="T22" s="18">
        <f t="shared" si="2"/>
        <v>112.58</v>
      </c>
    </row>
    <row r="23" spans="1:20" ht="28.8" x14ac:dyDescent="0.3">
      <c r="A23" s="9" t="s">
        <v>168</v>
      </c>
      <c r="B23" s="10" t="s">
        <v>54</v>
      </c>
      <c r="C23" s="10" t="s">
        <v>55</v>
      </c>
      <c r="D23" s="10">
        <v>14</v>
      </c>
      <c r="E23" s="10" t="s">
        <v>75</v>
      </c>
      <c r="F23" s="11" t="s">
        <v>169</v>
      </c>
      <c r="G23" s="12" t="s">
        <v>170</v>
      </c>
      <c r="H23" s="11" t="s">
        <v>171</v>
      </c>
      <c r="I23" s="11" t="s">
        <v>60</v>
      </c>
      <c r="J23" s="10"/>
      <c r="K23" s="10" t="s">
        <v>61</v>
      </c>
      <c r="L23" s="13" t="s">
        <v>62</v>
      </c>
      <c r="M23" s="14"/>
      <c r="N23" s="15" t="s">
        <v>172</v>
      </c>
      <c r="O23" s="16"/>
      <c r="P23" s="14" t="s">
        <v>64</v>
      </c>
      <c r="Q23" s="17">
        <f t="shared" si="0"/>
        <v>9.5865288429476964E-3</v>
      </c>
      <c r="R23" s="11"/>
      <c r="S23" s="18">
        <f t="shared" si="1"/>
        <v>237.62</v>
      </c>
      <c r="T23" s="18">
        <f t="shared" si="2"/>
        <v>239.92000000000002</v>
      </c>
    </row>
    <row r="24" spans="1:20" ht="28.8" x14ac:dyDescent="0.3">
      <c r="A24" s="9" t="s">
        <v>173</v>
      </c>
      <c r="B24" s="10" t="s">
        <v>54</v>
      </c>
      <c r="C24" s="10" t="s">
        <v>55</v>
      </c>
      <c r="D24" s="10">
        <v>14</v>
      </c>
      <c r="E24" s="10" t="s">
        <v>80</v>
      </c>
      <c r="F24" s="11" t="s">
        <v>174</v>
      </c>
      <c r="G24" s="12" t="s">
        <v>175</v>
      </c>
      <c r="H24" s="11" t="s">
        <v>176</v>
      </c>
      <c r="I24" s="11" t="s">
        <v>60</v>
      </c>
      <c r="J24" s="10"/>
      <c r="K24" s="10" t="s">
        <v>61</v>
      </c>
      <c r="L24" s="13" t="s">
        <v>62</v>
      </c>
      <c r="M24" s="14"/>
      <c r="N24" s="15" t="s">
        <v>177</v>
      </c>
      <c r="O24" s="16"/>
      <c r="P24" s="14" t="s">
        <v>64</v>
      </c>
      <c r="Q24" s="17">
        <f t="shared" si="0"/>
        <v>4.0690136631096451E-3</v>
      </c>
      <c r="R24" s="11"/>
      <c r="S24" s="18">
        <f t="shared" si="1"/>
        <v>499.31</v>
      </c>
      <c r="T24" s="18">
        <f t="shared" si="2"/>
        <v>501.35</v>
      </c>
    </row>
    <row r="25" spans="1:20" ht="28.8" x14ac:dyDescent="0.3">
      <c r="A25" s="9" t="s">
        <v>178</v>
      </c>
      <c r="B25" s="10" t="s">
        <v>54</v>
      </c>
      <c r="C25" s="10" t="s">
        <v>55</v>
      </c>
      <c r="D25" s="10">
        <v>14</v>
      </c>
      <c r="E25" s="10" t="s">
        <v>86</v>
      </c>
      <c r="F25" s="11" t="s">
        <v>81</v>
      </c>
      <c r="G25" s="12" t="s">
        <v>179</v>
      </c>
      <c r="H25" s="11" t="s">
        <v>180</v>
      </c>
      <c r="I25" s="11" t="s">
        <v>60</v>
      </c>
      <c r="J25" s="10"/>
      <c r="K25" s="10" t="s">
        <v>61</v>
      </c>
      <c r="L25" s="13" t="s">
        <v>62</v>
      </c>
      <c r="M25" s="14"/>
      <c r="N25" s="15" t="s">
        <v>181</v>
      </c>
      <c r="O25" s="16"/>
      <c r="P25" s="14" t="s">
        <v>64</v>
      </c>
      <c r="Q25" s="17">
        <f t="shared" si="0"/>
        <v>9.2371682537001464E-3</v>
      </c>
      <c r="R25" s="11"/>
      <c r="S25" s="18">
        <f t="shared" si="1"/>
        <v>938.51</v>
      </c>
      <c r="T25" s="18">
        <f t="shared" si="2"/>
        <v>947.26</v>
      </c>
    </row>
    <row r="26" spans="1:20" ht="28.8" x14ac:dyDescent="0.3">
      <c r="A26" s="9" t="s">
        <v>182</v>
      </c>
      <c r="B26" s="10" t="s">
        <v>54</v>
      </c>
      <c r="C26" s="10" t="s">
        <v>55</v>
      </c>
      <c r="D26" s="10">
        <v>14</v>
      </c>
      <c r="E26" s="10" t="s">
        <v>92</v>
      </c>
      <c r="F26" s="11" t="s">
        <v>183</v>
      </c>
      <c r="G26" s="12" t="s">
        <v>184</v>
      </c>
      <c r="H26" s="11" t="s">
        <v>95</v>
      </c>
      <c r="I26" s="11" t="s">
        <v>60</v>
      </c>
      <c r="J26" s="10"/>
      <c r="K26" s="10" t="s">
        <v>61</v>
      </c>
      <c r="L26" s="13" t="s">
        <v>62</v>
      </c>
      <c r="M26" s="14"/>
      <c r="N26" s="15" t="s">
        <v>185</v>
      </c>
      <c r="O26" s="16"/>
      <c r="P26" s="14" t="s">
        <v>64</v>
      </c>
      <c r="Q26" s="17">
        <f t="shared" si="0"/>
        <v>9.0771558245083955E-3</v>
      </c>
      <c r="R26" s="11"/>
      <c r="S26" s="18">
        <f t="shared" si="1"/>
        <v>26.2</v>
      </c>
      <c r="T26" s="18">
        <f t="shared" si="2"/>
        <v>26.44</v>
      </c>
    </row>
    <row r="27" spans="1:20" ht="28.8" x14ac:dyDescent="0.3">
      <c r="A27" s="9" t="s">
        <v>186</v>
      </c>
      <c r="B27" s="10" t="s">
        <v>54</v>
      </c>
      <c r="C27" s="10" t="s">
        <v>55</v>
      </c>
      <c r="D27" s="10">
        <v>14</v>
      </c>
      <c r="E27" s="10" t="s">
        <v>98</v>
      </c>
      <c r="F27" s="11" t="s">
        <v>187</v>
      </c>
      <c r="G27" s="12" t="s">
        <v>188</v>
      </c>
      <c r="H27" s="11" t="s">
        <v>189</v>
      </c>
      <c r="I27" s="11" t="s">
        <v>60</v>
      </c>
      <c r="J27" s="10"/>
      <c r="K27" s="10" t="s">
        <v>61</v>
      </c>
      <c r="L27" s="13" t="s">
        <v>62</v>
      </c>
      <c r="M27" s="14"/>
      <c r="N27" s="15" t="s">
        <v>190</v>
      </c>
      <c r="O27" s="16"/>
      <c r="P27" s="14" t="s">
        <v>64</v>
      </c>
      <c r="Q27" s="17">
        <f t="shared" si="0"/>
        <v>1.5909492663956763E-3</v>
      </c>
      <c r="R27" s="11"/>
      <c r="S27" s="18">
        <f t="shared" si="1"/>
        <v>56.48</v>
      </c>
      <c r="T27" s="18">
        <f t="shared" si="2"/>
        <v>56.57</v>
      </c>
    </row>
    <row r="28" spans="1:20" ht="28.8" x14ac:dyDescent="0.3">
      <c r="A28" s="9" t="s">
        <v>191</v>
      </c>
      <c r="B28" s="10" t="s">
        <v>54</v>
      </c>
      <c r="C28" s="10" t="s">
        <v>55</v>
      </c>
      <c r="D28" s="10">
        <v>14</v>
      </c>
      <c r="E28" s="10" t="s">
        <v>103</v>
      </c>
      <c r="F28" s="11" t="s">
        <v>187</v>
      </c>
      <c r="G28" s="12" t="s">
        <v>192</v>
      </c>
      <c r="H28" s="11" t="s">
        <v>193</v>
      </c>
      <c r="I28" s="11" t="s">
        <v>60</v>
      </c>
      <c r="J28" s="10"/>
      <c r="K28" s="10" t="s">
        <v>61</v>
      </c>
      <c r="L28" s="13" t="s">
        <v>62</v>
      </c>
      <c r="M28" s="14"/>
      <c r="N28" s="15" t="s">
        <v>194</v>
      </c>
      <c r="O28" s="16"/>
      <c r="P28" s="14" t="s">
        <v>64</v>
      </c>
      <c r="Q28" s="17">
        <f t="shared" si="0"/>
        <v>2.0051956486442708E-2</v>
      </c>
      <c r="R28" s="11"/>
      <c r="S28" s="18">
        <f t="shared" si="1"/>
        <v>120.71</v>
      </c>
      <c r="T28" s="18">
        <f t="shared" si="2"/>
        <v>123.18</v>
      </c>
    </row>
    <row r="29" spans="1:20" ht="28.8" x14ac:dyDescent="0.3">
      <c r="A29" s="9" t="s">
        <v>195</v>
      </c>
      <c r="B29" s="10" t="s">
        <v>54</v>
      </c>
      <c r="C29" s="10" t="s">
        <v>55</v>
      </c>
      <c r="D29" s="10">
        <v>14</v>
      </c>
      <c r="E29" s="10" t="s">
        <v>109</v>
      </c>
      <c r="F29" s="11" t="s">
        <v>196</v>
      </c>
      <c r="G29" s="12" t="s">
        <v>197</v>
      </c>
      <c r="H29" s="11" t="s">
        <v>198</v>
      </c>
      <c r="I29" s="11" t="s">
        <v>60</v>
      </c>
      <c r="J29" s="10"/>
      <c r="K29" s="10" t="s">
        <v>61</v>
      </c>
      <c r="L29" s="13" t="s">
        <v>62</v>
      </c>
      <c r="M29" s="14"/>
      <c r="N29" s="15" t="s">
        <v>199</v>
      </c>
      <c r="O29" s="16"/>
      <c r="P29" s="14" t="s">
        <v>64</v>
      </c>
      <c r="Q29" s="17">
        <f t="shared" si="0"/>
        <v>2.0270270270271039E-3</v>
      </c>
      <c r="R29" s="11"/>
      <c r="S29" s="18">
        <f t="shared" si="1"/>
        <v>29.54</v>
      </c>
      <c r="T29" s="18">
        <f t="shared" si="2"/>
        <v>29.6</v>
      </c>
    </row>
    <row r="30" spans="1:20" ht="28.8" x14ac:dyDescent="0.3">
      <c r="A30" s="9" t="s">
        <v>200</v>
      </c>
      <c r="B30" s="10" t="s">
        <v>54</v>
      </c>
      <c r="C30" s="10" t="s">
        <v>55</v>
      </c>
      <c r="D30" s="10">
        <v>14</v>
      </c>
      <c r="E30" s="10" t="s">
        <v>115</v>
      </c>
      <c r="F30" s="11" t="s">
        <v>110</v>
      </c>
      <c r="G30" s="12" t="s">
        <v>201</v>
      </c>
      <c r="H30" s="11" t="s">
        <v>202</v>
      </c>
      <c r="I30" s="11" t="s">
        <v>60</v>
      </c>
      <c r="J30" s="10"/>
      <c r="K30" s="10" t="s">
        <v>61</v>
      </c>
      <c r="L30" s="13" t="s">
        <v>62</v>
      </c>
      <c r="M30" s="14"/>
      <c r="N30" s="15" t="s">
        <v>203</v>
      </c>
      <c r="O30" s="16"/>
      <c r="P30" s="14" t="s">
        <v>64</v>
      </c>
      <c r="Q30" s="17">
        <f t="shared" si="0"/>
        <v>1.2476894639556412E-2</v>
      </c>
      <c r="R30" s="11"/>
      <c r="S30" s="18">
        <f t="shared" si="1"/>
        <v>64.11</v>
      </c>
      <c r="T30" s="18">
        <f t="shared" si="2"/>
        <v>64.92</v>
      </c>
    </row>
    <row r="31" spans="1:20" ht="28.8" x14ac:dyDescent="0.3">
      <c r="A31" s="9" t="s">
        <v>204</v>
      </c>
      <c r="B31" s="10" t="s">
        <v>54</v>
      </c>
      <c r="C31" s="10" t="s">
        <v>55</v>
      </c>
      <c r="D31" s="10">
        <v>14</v>
      </c>
      <c r="E31" s="10" t="s">
        <v>120</v>
      </c>
      <c r="F31" s="11" t="s">
        <v>110</v>
      </c>
      <c r="G31" s="12" t="s">
        <v>205</v>
      </c>
      <c r="H31" s="11" t="s">
        <v>206</v>
      </c>
      <c r="I31" s="11" t="s">
        <v>60</v>
      </c>
      <c r="J31" s="10"/>
      <c r="K31" s="10" t="s">
        <v>61</v>
      </c>
      <c r="L31" s="13" t="s">
        <v>62</v>
      </c>
      <c r="M31" s="14"/>
      <c r="N31" s="15" t="s">
        <v>207</v>
      </c>
      <c r="O31" s="16"/>
      <c r="P31" s="14" t="s">
        <v>64</v>
      </c>
      <c r="Q31" s="17">
        <f t="shared" si="0"/>
        <v>6.3979526551526144E-4</v>
      </c>
      <c r="R31" s="11"/>
      <c r="S31" s="18">
        <f t="shared" si="1"/>
        <v>140.57999999999998</v>
      </c>
      <c r="T31" s="18">
        <f t="shared" si="2"/>
        <v>140.67000000000002</v>
      </c>
    </row>
    <row r="32" spans="1:20" ht="28.8" x14ac:dyDescent="0.3">
      <c r="A32" s="9" t="s">
        <v>208</v>
      </c>
      <c r="B32" s="10" t="s">
        <v>54</v>
      </c>
      <c r="C32" s="10" t="s">
        <v>55</v>
      </c>
      <c r="D32" s="10">
        <v>14</v>
      </c>
      <c r="E32" s="10" t="s">
        <v>126</v>
      </c>
      <c r="F32" s="11" t="s">
        <v>57</v>
      </c>
      <c r="G32" s="12" t="s">
        <v>209</v>
      </c>
      <c r="H32" s="11" t="s">
        <v>210</v>
      </c>
      <c r="I32" s="11" t="s">
        <v>157</v>
      </c>
      <c r="J32" s="10" t="s">
        <v>158</v>
      </c>
      <c r="K32" s="10" t="s">
        <v>61</v>
      </c>
      <c r="L32" s="13" t="s">
        <v>62</v>
      </c>
      <c r="M32" s="19" t="s">
        <v>211</v>
      </c>
      <c r="N32" s="20" t="s">
        <v>212</v>
      </c>
      <c r="O32" s="21"/>
      <c r="P32" s="19" t="s">
        <v>213</v>
      </c>
      <c r="Q32" s="17">
        <f t="shared" si="0"/>
        <v>2.1093750000000105E-2</v>
      </c>
      <c r="R32" s="11" t="s">
        <v>214</v>
      </c>
      <c r="S32" s="18">
        <f t="shared" si="1"/>
        <v>25.06</v>
      </c>
      <c r="T32" s="18">
        <f t="shared" si="2"/>
        <v>25.6</v>
      </c>
    </row>
    <row r="33" spans="1:20" ht="28.8" x14ac:dyDescent="0.3">
      <c r="A33" s="9" t="s">
        <v>215</v>
      </c>
      <c r="B33" s="10" t="s">
        <v>54</v>
      </c>
      <c r="C33" s="10" t="s">
        <v>55</v>
      </c>
      <c r="D33" s="10">
        <v>14</v>
      </c>
      <c r="E33" s="10" t="s">
        <v>130</v>
      </c>
      <c r="F33" s="11" t="s">
        <v>57</v>
      </c>
      <c r="G33" s="12" t="s">
        <v>216</v>
      </c>
      <c r="H33" s="11" t="s">
        <v>217</v>
      </c>
      <c r="I33" s="11" t="s">
        <v>157</v>
      </c>
      <c r="J33" s="10" t="s">
        <v>158</v>
      </c>
      <c r="K33" s="10" t="s">
        <v>61</v>
      </c>
      <c r="L33" s="13" t="s">
        <v>62</v>
      </c>
      <c r="M33" s="19" t="s">
        <v>218</v>
      </c>
      <c r="N33" s="20" t="s">
        <v>219</v>
      </c>
      <c r="O33" s="21"/>
      <c r="P33" s="19" t="s">
        <v>213</v>
      </c>
      <c r="Q33" s="17">
        <f t="shared" si="0"/>
        <v>4.0195735756728371E-2</v>
      </c>
      <c r="R33" s="11" t="s">
        <v>220</v>
      </c>
      <c r="S33" s="18">
        <f t="shared" si="1"/>
        <v>54.92</v>
      </c>
      <c r="T33" s="18">
        <f t="shared" si="2"/>
        <v>57.22</v>
      </c>
    </row>
    <row r="34" spans="1:20" ht="28.8" x14ac:dyDescent="0.3">
      <c r="A34" s="9" t="s">
        <v>221</v>
      </c>
      <c r="B34" s="10" t="s">
        <v>54</v>
      </c>
      <c r="C34" s="10" t="s">
        <v>55</v>
      </c>
      <c r="D34" s="10">
        <v>14</v>
      </c>
      <c r="E34" s="10" t="s">
        <v>135</v>
      </c>
      <c r="F34" s="11" t="s">
        <v>211</v>
      </c>
      <c r="G34" s="12" t="s">
        <v>222</v>
      </c>
      <c r="H34" s="11" t="s">
        <v>223</v>
      </c>
      <c r="I34" s="11" t="s">
        <v>60</v>
      </c>
      <c r="J34" s="10"/>
      <c r="K34" s="10" t="s">
        <v>61</v>
      </c>
      <c r="L34" s="13" t="s">
        <v>62</v>
      </c>
      <c r="M34" s="14"/>
      <c r="N34" s="15" t="s">
        <v>224</v>
      </c>
      <c r="O34" s="16"/>
      <c r="P34" s="14" t="s">
        <v>64</v>
      </c>
      <c r="Q34" s="17">
        <f t="shared" ref="Q34:Q65" si="3">IF(OR(S34="",T34=""),"",(T34-S34)/T34)</f>
        <v>1.8277595977332639E-2</v>
      </c>
      <c r="R34" s="11"/>
      <c r="S34" s="18">
        <f t="shared" si="1"/>
        <v>123</v>
      </c>
      <c r="T34" s="18">
        <f t="shared" si="2"/>
        <v>125.29</v>
      </c>
    </row>
    <row r="35" spans="1:20" ht="28.8" x14ac:dyDescent="0.3">
      <c r="A35" s="9" t="s">
        <v>225</v>
      </c>
      <c r="B35" s="10" t="s">
        <v>54</v>
      </c>
      <c r="C35" s="10" t="s">
        <v>55</v>
      </c>
      <c r="D35" s="10">
        <v>14</v>
      </c>
      <c r="E35" s="10" t="s">
        <v>141</v>
      </c>
      <c r="F35" s="11" t="s">
        <v>57</v>
      </c>
      <c r="G35" s="12" t="s">
        <v>226</v>
      </c>
      <c r="H35" s="11" t="s">
        <v>227</v>
      </c>
      <c r="I35" s="11" t="s">
        <v>157</v>
      </c>
      <c r="J35" s="10" t="s">
        <v>158</v>
      </c>
      <c r="K35" s="10" t="s">
        <v>61</v>
      </c>
      <c r="L35" s="13" t="s">
        <v>62</v>
      </c>
      <c r="M35" s="19" t="s">
        <v>228</v>
      </c>
      <c r="N35" s="20" t="s">
        <v>229</v>
      </c>
      <c r="O35" s="21"/>
      <c r="P35" s="19" t="s">
        <v>213</v>
      </c>
      <c r="Q35" s="17">
        <f t="shared" si="3"/>
        <v>1.6695059625213015E-2</v>
      </c>
      <c r="R35" s="11" t="s">
        <v>230</v>
      </c>
      <c r="S35" s="18">
        <f t="shared" si="1"/>
        <v>57.72</v>
      </c>
      <c r="T35" s="18">
        <f t="shared" si="2"/>
        <v>58.7</v>
      </c>
    </row>
    <row r="36" spans="1:20" ht="28.8" x14ac:dyDescent="0.3">
      <c r="A36" s="9" t="s">
        <v>231</v>
      </c>
      <c r="B36" s="10" t="s">
        <v>54</v>
      </c>
      <c r="C36" s="10" t="s">
        <v>55</v>
      </c>
      <c r="D36" s="10">
        <v>14</v>
      </c>
      <c r="E36" s="10" t="s">
        <v>146</v>
      </c>
      <c r="F36" s="11" t="s">
        <v>104</v>
      </c>
      <c r="G36" s="12" t="s">
        <v>232</v>
      </c>
      <c r="H36" s="11" t="s">
        <v>233</v>
      </c>
      <c r="I36" s="11" t="s">
        <v>60</v>
      </c>
      <c r="J36" s="10"/>
      <c r="K36" s="10" t="s">
        <v>61</v>
      </c>
      <c r="L36" s="13" t="s">
        <v>62</v>
      </c>
      <c r="M36" s="14"/>
      <c r="N36" s="15" t="s">
        <v>234</v>
      </c>
      <c r="O36" s="16"/>
      <c r="P36" s="14" t="s">
        <v>64</v>
      </c>
      <c r="Q36" s="17">
        <f t="shared" si="3"/>
        <v>7.4004829788891701E-3</v>
      </c>
      <c r="R36" s="11"/>
      <c r="S36" s="18">
        <f t="shared" si="1"/>
        <v>127.42</v>
      </c>
      <c r="T36" s="18">
        <f t="shared" si="2"/>
        <v>128.37</v>
      </c>
    </row>
    <row r="37" spans="1:20" ht="28.8" x14ac:dyDescent="0.3">
      <c r="A37" s="9" t="s">
        <v>235</v>
      </c>
      <c r="B37" s="10" t="s">
        <v>54</v>
      </c>
      <c r="C37" s="10" t="s">
        <v>55</v>
      </c>
      <c r="D37" s="10">
        <v>14</v>
      </c>
      <c r="E37" s="10" t="s">
        <v>150</v>
      </c>
      <c r="F37" s="11" t="s">
        <v>104</v>
      </c>
      <c r="G37" s="12" t="s">
        <v>236</v>
      </c>
      <c r="H37" s="11" t="s">
        <v>237</v>
      </c>
      <c r="I37" s="11" t="s">
        <v>60</v>
      </c>
      <c r="J37" s="10"/>
      <c r="K37" s="10" t="s">
        <v>61</v>
      </c>
      <c r="L37" s="13" t="s">
        <v>62</v>
      </c>
      <c r="M37" s="14"/>
      <c r="N37" s="15" t="s">
        <v>238</v>
      </c>
      <c r="O37" s="16"/>
      <c r="P37" s="14" t="s">
        <v>64</v>
      </c>
      <c r="Q37" s="17">
        <f t="shared" si="3"/>
        <v>8.3185448092280376E-3</v>
      </c>
      <c r="R37" s="11"/>
      <c r="S37" s="18">
        <f t="shared" si="1"/>
        <v>268.23</v>
      </c>
      <c r="T37" s="18">
        <f t="shared" si="2"/>
        <v>270.48</v>
      </c>
    </row>
    <row r="38" spans="1:20" ht="28.8" x14ac:dyDescent="0.3">
      <c r="A38" s="9" t="s">
        <v>239</v>
      </c>
      <c r="B38" s="10" t="s">
        <v>54</v>
      </c>
      <c r="C38" s="10" t="s">
        <v>55</v>
      </c>
      <c r="D38" s="10">
        <v>15</v>
      </c>
      <c r="E38" s="10" t="s">
        <v>56</v>
      </c>
      <c r="F38" s="11" t="s">
        <v>240</v>
      </c>
      <c r="G38" s="12" t="s">
        <v>241</v>
      </c>
      <c r="H38" s="11" t="s">
        <v>223</v>
      </c>
      <c r="I38" s="11" t="s">
        <v>60</v>
      </c>
      <c r="J38" s="10"/>
      <c r="K38" s="10" t="s">
        <v>61</v>
      </c>
      <c r="L38" s="13" t="s">
        <v>62</v>
      </c>
      <c r="M38" s="14"/>
      <c r="N38" s="15" t="s">
        <v>242</v>
      </c>
      <c r="O38" s="16"/>
      <c r="P38" s="14" t="s">
        <v>64</v>
      </c>
      <c r="Q38" s="17">
        <f t="shared" si="3"/>
        <v>1.6414686825053953E-2</v>
      </c>
      <c r="R38" s="11"/>
      <c r="S38" s="18">
        <f t="shared" si="1"/>
        <v>22.77</v>
      </c>
      <c r="T38" s="18">
        <f t="shared" si="2"/>
        <v>23.15</v>
      </c>
    </row>
    <row r="39" spans="1:20" ht="28.8" x14ac:dyDescent="0.3">
      <c r="A39" s="9" t="s">
        <v>243</v>
      </c>
      <c r="B39" s="10" t="s">
        <v>54</v>
      </c>
      <c r="C39" s="10" t="s">
        <v>55</v>
      </c>
      <c r="D39" s="10">
        <v>15</v>
      </c>
      <c r="E39" s="10" t="s">
        <v>66</v>
      </c>
      <c r="F39" s="11" t="s">
        <v>240</v>
      </c>
      <c r="G39" s="12" t="s">
        <v>244</v>
      </c>
      <c r="H39" s="11" t="s">
        <v>223</v>
      </c>
      <c r="I39" s="11" t="s">
        <v>60</v>
      </c>
      <c r="J39" s="10"/>
      <c r="K39" s="10" t="s">
        <v>61</v>
      </c>
      <c r="L39" s="13" t="s">
        <v>62</v>
      </c>
      <c r="M39" s="14"/>
      <c r="N39" s="15" t="s">
        <v>245</v>
      </c>
      <c r="O39" s="16"/>
      <c r="P39" s="14" t="s">
        <v>64</v>
      </c>
      <c r="Q39" s="17">
        <f t="shared" si="3"/>
        <v>6.1642473652814131E-3</v>
      </c>
      <c r="R39" s="11"/>
      <c r="S39" s="18">
        <f t="shared" si="1"/>
        <v>49.98</v>
      </c>
      <c r="T39" s="18">
        <f t="shared" si="2"/>
        <v>50.29</v>
      </c>
    </row>
    <row r="40" spans="1:20" ht="28.8" x14ac:dyDescent="0.3">
      <c r="A40" s="9" t="s">
        <v>246</v>
      </c>
      <c r="B40" s="10" t="s">
        <v>54</v>
      </c>
      <c r="C40" s="10" t="s">
        <v>55</v>
      </c>
      <c r="D40" s="10">
        <v>15</v>
      </c>
      <c r="E40" s="10" t="s">
        <v>70</v>
      </c>
      <c r="F40" s="11" t="s">
        <v>240</v>
      </c>
      <c r="G40" s="12" t="s">
        <v>247</v>
      </c>
      <c r="H40" s="11" t="s">
        <v>248</v>
      </c>
      <c r="I40" s="11" t="s">
        <v>60</v>
      </c>
      <c r="J40" s="10"/>
      <c r="K40" s="10" t="s">
        <v>61</v>
      </c>
      <c r="L40" s="13" t="s">
        <v>62</v>
      </c>
      <c r="M40" s="14"/>
      <c r="N40" s="15" t="s">
        <v>249</v>
      </c>
      <c r="O40" s="16"/>
      <c r="P40" s="14" t="s">
        <v>64</v>
      </c>
      <c r="Q40" s="17">
        <f t="shared" si="3"/>
        <v>2.808225382733964E-3</v>
      </c>
      <c r="R40" s="11"/>
      <c r="S40" s="18">
        <f t="shared" si="1"/>
        <v>110.08</v>
      </c>
      <c r="T40" s="18">
        <f t="shared" si="2"/>
        <v>110.39</v>
      </c>
    </row>
    <row r="41" spans="1:20" ht="28.8" x14ac:dyDescent="0.3">
      <c r="A41" s="9" t="s">
        <v>250</v>
      </c>
      <c r="B41" s="10" t="s">
        <v>54</v>
      </c>
      <c r="C41" s="10" t="s">
        <v>55</v>
      </c>
      <c r="D41" s="10">
        <v>15</v>
      </c>
      <c r="E41" s="10" t="s">
        <v>75</v>
      </c>
      <c r="F41" s="11" t="s">
        <v>251</v>
      </c>
      <c r="G41" s="12" t="s">
        <v>252</v>
      </c>
      <c r="H41" s="11" t="s">
        <v>253</v>
      </c>
      <c r="I41" s="11" t="s">
        <v>60</v>
      </c>
      <c r="J41" s="10"/>
      <c r="K41" s="10" t="s">
        <v>61</v>
      </c>
      <c r="L41" s="13" t="s">
        <v>62</v>
      </c>
      <c r="M41" s="14"/>
      <c r="N41" s="15" t="s">
        <v>254</v>
      </c>
      <c r="O41" s="16"/>
      <c r="P41" s="14" t="s">
        <v>64</v>
      </c>
      <c r="Q41" s="17">
        <f t="shared" si="3"/>
        <v>5.2247047829412033E-3</v>
      </c>
      <c r="R41" s="11"/>
      <c r="S41" s="18">
        <f t="shared" si="1"/>
        <v>234.19</v>
      </c>
      <c r="T41" s="18">
        <f t="shared" si="2"/>
        <v>235.42000000000002</v>
      </c>
    </row>
    <row r="42" spans="1:20" ht="28.8" x14ac:dyDescent="0.3">
      <c r="A42" s="9" t="s">
        <v>255</v>
      </c>
      <c r="B42" s="10" t="s">
        <v>54</v>
      </c>
      <c r="C42" s="10" t="s">
        <v>55</v>
      </c>
      <c r="D42" s="10">
        <v>15</v>
      </c>
      <c r="E42" s="10" t="s">
        <v>80</v>
      </c>
      <c r="F42" s="11" t="s">
        <v>256</v>
      </c>
      <c r="G42" s="12" t="s">
        <v>257</v>
      </c>
      <c r="H42" s="11" t="s">
        <v>156</v>
      </c>
      <c r="I42" s="11" t="s">
        <v>157</v>
      </c>
      <c r="J42" s="10" t="s">
        <v>158</v>
      </c>
      <c r="K42" s="10" t="s">
        <v>61</v>
      </c>
      <c r="L42" s="13" t="s">
        <v>62</v>
      </c>
      <c r="M42" s="19" t="s">
        <v>174</v>
      </c>
      <c r="N42" s="20" t="s">
        <v>258</v>
      </c>
      <c r="O42" s="21"/>
      <c r="P42" s="19" t="s">
        <v>213</v>
      </c>
      <c r="Q42" s="17">
        <f t="shared" si="3"/>
        <v>5.0978792822185971E-3</v>
      </c>
      <c r="R42" s="11" t="s">
        <v>259</v>
      </c>
      <c r="S42" s="18">
        <f t="shared" si="1"/>
        <v>487.9</v>
      </c>
      <c r="T42" s="18">
        <f t="shared" si="2"/>
        <v>490.4</v>
      </c>
    </row>
    <row r="43" spans="1:20" ht="28.8" x14ac:dyDescent="0.3">
      <c r="A43" s="9" t="s">
        <v>260</v>
      </c>
      <c r="B43" s="10" t="s">
        <v>54</v>
      </c>
      <c r="C43" s="10" t="s">
        <v>55</v>
      </c>
      <c r="D43" s="10">
        <v>15</v>
      </c>
      <c r="E43" s="10" t="s">
        <v>86</v>
      </c>
      <c r="F43" s="11" t="s">
        <v>256</v>
      </c>
      <c r="G43" s="12" t="s">
        <v>261</v>
      </c>
      <c r="H43" s="11" t="s">
        <v>227</v>
      </c>
      <c r="I43" s="11" t="s">
        <v>157</v>
      </c>
      <c r="J43" s="10" t="s">
        <v>158</v>
      </c>
      <c r="K43" s="10" t="s">
        <v>61</v>
      </c>
      <c r="L43" s="13" t="s">
        <v>62</v>
      </c>
      <c r="M43" s="19" t="s">
        <v>81</v>
      </c>
      <c r="N43" s="20" t="s">
        <v>262</v>
      </c>
      <c r="O43" s="21"/>
      <c r="P43" s="19" t="s">
        <v>213</v>
      </c>
      <c r="Q43" s="17">
        <f t="shared" si="3"/>
        <v>8.7099811676082713E-3</v>
      </c>
      <c r="R43" s="11" t="s">
        <v>263</v>
      </c>
      <c r="S43" s="18">
        <f t="shared" si="1"/>
        <v>926.42</v>
      </c>
      <c r="T43" s="18">
        <f t="shared" si="2"/>
        <v>934.56</v>
      </c>
    </row>
    <row r="44" spans="1:20" ht="28.8" x14ac:dyDescent="0.3">
      <c r="A44" s="9" t="s">
        <v>264</v>
      </c>
      <c r="B44" s="10" t="s">
        <v>54</v>
      </c>
      <c r="C44" s="10" t="s">
        <v>55</v>
      </c>
      <c r="D44" s="10">
        <v>15</v>
      </c>
      <c r="E44" s="10" t="s">
        <v>92</v>
      </c>
      <c r="F44" s="11" t="s">
        <v>265</v>
      </c>
      <c r="G44" s="12" t="s">
        <v>266</v>
      </c>
      <c r="H44" s="11" t="s">
        <v>267</v>
      </c>
      <c r="I44" s="11" t="s">
        <v>60</v>
      </c>
      <c r="J44" s="10"/>
      <c r="K44" s="10" t="s">
        <v>61</v>
      </c>
      <c r="L44" s="13" t="s">
        <v>62</v>
      </c>
      <c r="M44" s="14"/>
      <c r="N44" s="15" t="s">
        <v>268</v>
      </c>
      <c r="O44" s="16"/>
      <c r="P44" s="14" t="s">
        <v>64</v>
      </c>
      <c r="Q44" s="17">
        <f t="shared" si="3"/>
        <v>1.3245033112582913E-2</v>
      </c>
      <c r="R44" s="11"/>
      <c r="S44" s="18">
        <f t="shared" si="1"/>
        <v>25.33</v>
      </c>
      <c r="T44" s="18">
        <f t="shared" si="2"/>
        <v>25.67</v>
      </c>
    </row>
    <row r="45" spans="1:20" ht="28.8" x14ac:dyDescent="0.3">
      <c r="A45" s="9" t="s">
        <v>269</v>
      </c>
      <c r="B45" s="10" t="s">
        <v>54</v>
      </c>
      <c r="C45" s="10" t="s">
        <v>55</v>
      </c>
      <c r="D45" s="10">
        <v>15</v>
      </c>
      <c r="E45" s="10" t="s">
        <v>98</v>
      </c>
      <c r="F45" s="11" t="s">
        <v>978</v>
      </c>
      <c r="G45" s="12" t="s">
        <v>270</v>
      </c>
      <c r="H45" s="11" t="s">
        <v>143</v>
      </c>
      <c r="I45" s="11" t="s">
        <v>60</v>
      </c>
      <c r="J45" s="10"/>
      <c r="K45" s="10" t="s">
        <v>61</v>
      </c>
      <c r="L45" s="13" t="s">
        <v>62</v>
      </c>
      <c r="M45" s="14"/>
      <c r="N45" s="15" t="s">
        <v>271</v>
      </c>
      <c r="O45" s="16"/>
      <c r="P45" s="14" t="s">
        <v>64</v>
      </c>
      <c r="Q45" s="17">
        <f t="shared" si="3"/>
        <v>3.0959752321980442E-3</v>
      </c>
      <c r="R45" s="11"/>
      <c r="S45" s="18">
        <f t="shared" si="1"/>
        <v>54.74</v>
      </c>
      <c r="T45" s="18">
        <f t="shared" si="2"/>
        <v>54.91</v>
      </c>
    </row>
    <row r="46" spans="1:20" ht="28.8" x14ac:dyDescent="0.3">
      <c r="A46" s="9" t="s">
        <v>272</v>
      </c>
      <c r="B46" s="10" t="s">
        <v>54</v>
      </c>
      <c r="C46" s="10" t="s">
        <v>55</v>
      </c>
      <c r="D46" s="10">
        <v>15</v>
      </c>
      <c r="E46" s="10" t="s">
        <v>103</v>
      </c>
      <c r="F46" s="11" t="s">
        <v>104</v>
      </c>
      <c r="G46" s="12" t="s">
        <v>273</v>
      </c>
      <c r="H46" s="11" t="s">
        <v>95</v>
      </c>
      <c r="I46" s="11" t="s">
        <v>60</v>
      </c>
      <c r="J46" s="10"/>
      <c r="K46" s="10" t="s">
        <v>61</v>
      </c>
      <c r="L46" s="13" t="s">
        <v>62</v>
      </c>
      <c r="M46" s="14"/>
      <c r="N46" s="15" t="s">
        <v>274</v>
      </c>
      <c r="O46" s="16"/>
      <c r="P46" s="14" t="s">
        <v>64</v>
      </c>
      <c r="Q46" s="17">
        <f t="shared" si="3"/>
        <v>7.5054815314555623E-3</v>
      </c>
      <c r="R46" s="11"/>
      <c r="S46" s="18">
        <f t="shared" si="1"/>
        <v>117.69</v>
      </c>
      <c r="T46" s="18">
        <f t="shared" si="2"/>
        <v>118.58</v>
      </c>
    </row>
    <row r="47" spans="1:20" ht="28.8" x14ac:dyDescent="0.3">
      <c r="A47" s="9" t="s">
        <v>275</v>
      </c>
      <c r="B47" s="10" t="s">
        <v>54</v>
      </c>
      <c r="C47" s="10" t="s">
        <v>55</v>
      </c>
      <c r="D47" s="10">
        <v>15</v>
      </c>
      <c r="E47" s="10" t="s">
        <v>109</v>
      </c>
      <c r="F47" s="11" t="s">
        <v>196</v>
      </c>
      <c r="G47" s="12" t="s">
        <v>276</v>
      </c>
      <c r="H47" s="11" t="s">
        <v>277</v>
      </c>
      <c r="I47" s="11" t="s">
        <v>60</v>
      </c>
      <c r="J47" s="10"/>
      <c r="K47" s="10" t="s">
        <v>61</v>
      </c>
      <c r="L47" s="13" t="s">
        <v>62</v>
      </c>
      <c r="M47" s="14"/>
      <c r="N47" s="15" t="s">
        <v>278</v>
      </c>
      <c r="O47" s="16"/>
      <c r="P47" s="14" t="s">
        <v>64</v>
      </c>
      <c r="Q47" s="17">
        <f t="shared" si="3"/>
        <v>7.6019350380097583E-3</v>
      </c>
      <c r="R47" s="11"/>
      <c r="S47" s="18">
        <f t="shared" si="1"/>
        <v>28.72</v>
      </c>
      <c r="T47" s="18">
        <f t="shared" si="2"/>
        <v>28.94</v>
      </c>
    </row>
    <row r="48" spans="1:20" ht="28.8" x14ac:dyDescent="0.3">
      <c r="A48" s="9" t="s">
        <v>279</v>
      </c>
      <c r="B48" s="10" t="s">
        <v>54</v>
      </c>
      <c r="C48" s="10" t="s">
        <v>55</v>
      </c>
      <c r="D48" s="10">
        <v>15</v>
      </c>
      <c r="E48" s="10" t="s">
        <v>115</v>
      </c>
      <c r="F48" s="11" t="s">
        <v>121</v>
      </c>
      <c r="G48" s="12" t="s">
        <v>280</v>
      </c>
      <c r="H48" s="11" t="s">
        <v>281</v>
      </c>
      <c r="I48" s="11" t="s">
        <v>60</v>
      </c>
      <c r="J48" s="10"/>
      <c r="K48" s="10" t="s">
        <v>61</v>
      </c>
      <c r="L48" s="13" t="s">
        <v>62</v>
      </c>
      <c r="M48" s="14"/>
      <c r="N48" s="15" t="s">
        <v>282</v>
      </c>
      <c r="O48" s="16"/>
      <c r="P48" s="14" t="s">
        <v>64</v>
      </c>
      <c r="Q48" s="17">
        <f t="shared" si="3"/>
        <v>5.9456853607584362E-3</v>
      </c>
      <c r="R48" s="11"/>
      <c r="S48" s="18">
        <f t="shared" si="1"/>
        <v>61.86</v>
      </c>
      <c r="T48" s="18">
        <f t="shared" si="2"/>
        <v>62.23</v>
      </c>
    </row>
    <row r="49" spans="1:20" ht="28.8" x14ac:dyDescent="0.3">
      <c r="A49" s="9" t="s">
        <v>283</v>
      </c>
      <c r="B49" s="10" t="s">
        <v>54</v>
      </c>
      <c r="C49" s="10" t="s">
        <v>55</v>
      </c>
      <c r="D49" s="10">
        <v>15</v>
      </c>
      <c r="E49" s="10" t="s">
        <v>120</v>
      </c>
      <c r="F49" s="11" t="s">
        <v>284</v>
      </c>
      <c r="G49" s="12" t="s">
        <v>285</v>
      </c>
      <c r="H49" s="11" t="s">
        <v>206</v>
      </c>
      <c r="I49" s="11" t="s">
        <v>60</v>
      </c>
      <c r="J49" s="10"/>
      <c r="K49" s="10" t="s">
        <v>61</v>
      </c>
      <c r="L49" s="13" t="s">
        <v>62</v>
      </c>
      <c r="M49" s="14"/>
      <c r="N49" s="15" t="s">
        <v>286</v>
      </c>
      <c r="O49" s="16"/>
      <c r="P49" s="14" t="s">
        <v>64</v>
      </c>
      <c r="Q49" s="17">
        <f t="shared" si="3"/>
        <v>2.1545319465081135E-3</v>
      </c>
      <c r="R49" s="11"/>
      <c r="S49" s="18">
        <f t="shared" si="1"/>
        <v>134.31</v>
      </c>
      <c r="T49" s="18">
        <f t="shared" si="2"/>
        <v>134.6</v>
      </c>
    </row>
    <row r="50" spans="1:20" ht="28.8" x14ac:dyDescent="0.3">
      <c r="A50" s="9" t="s">
        <v>287</v>
      </c>
      <c r="B50" s="10" t="s">
        <v>54</v>
      </c>
      <c r="C50" s="10" t="s">
        <v>55</v>
      </c>
      <c r="D50" s="10">
        <v>15</v>
      </c>
      <c r="E50" s="10" t="s">
        <v>126</v>
      </c>
      <c r="F50" s="11" t="s">
        <v>284</v>
      </c>
      <c r="G50" s="12" t="s">
        <v>288</v>
      </c>
      <c r="H50" s="11" t="s">
        <v>289</v>
      </c>
      <c r="I50" s="11" t="s">
        <v>60</v>
      </c>
      <c r="J50" s="10"/>
      <c r="K50" s="10" t="s">
        <v>61</v>
      </c>
      <c r="L50" s="13" t="s">
        <v>62</v>
      </c>
      <c r="M50" s="14"/>
      <c r="N50" s="15" t="s">
        <v>290</v>
      </c>
      <c r="O50" s="16"/>
      <c r="P50" s="14" t="s">
        <v>64</v>
      </c>
      <c r="Q50" s="17">
        <f t="shared" si="3"/>
        <v>1.0358565737051854E-2</v>
      </c>
      <c r="R50" s="11"/>
      <c r="S50" s="18">
        <f t="shared" si="1"/>
        <v>24.84</v>
      </c>
      <c r="T50" s="18">
        <f t="shared" si="2"/>
        <v>25.1</v>
      </c>
    </row>
    <row r="51" spans="1:20" ht="28.8" x14ac:dyDescent="0.3">
      <c r="A51" s="9" t="s">
        <v>291</v>
      </c>
      <c r="B51" s="10" t="s">
        <v>54</v>
      </c>
      <c r="C51" s="10" t="s">
        <v>55</v>
      </c>
      <c r="D51" s="10">
        <v>15</v>
      </c>
      <c r="E51" s="10" t="s">
        <v>130</v>
      </c>
      <c r="F51" s="11" t="s">
        <v>292</v>
      </c>
      <c r="G51" s="12" t="s">
        <v>293</v>
      </c>
      <c r="H51" s="11" t="s">
        <v>248</v>
      </c>
      <c r="I51" s="11" t="s">
        <v>60</v>
      </c>
      <c r="J51" s="10"/>
      <c r="K51" s="10" t="s">
        <v>61</v>
      </c>
      <c r="L51" s="13" t="s">
        <v>62</v>
      </c>
      <c r="M51" s="14"/>
      <c r="N51" s="15" t="s">
        <v>294</v>
      </c>
      <c r="O51" s="16"/>
      <c r="P51" s="14" t="s">
        <v>64</v>
      </c>
      <c r="Q51" s="17">
        <f t="shared" si="3"/>
        <v>1.8834080717488738E-2</v>
      </c>
      <c r="R51" s="11"/>
      <c r="S51" s="18">
        <f t="shared" si="1"/>
        <v>54.7</v>
      </c>
      <c r="T51" s="18">
        <f t="shared" si="2"/>
        <v>55.75</v>
      </c>
    </row>
    <row r="52" spans="1:20" ht="28.8" x14ac:dyDescent="0.3">
      <c r="A52" s="9" t="s">
        <v>295</v>
      </c>
      <c r="B52" s="10" t="s">
        <v>54</v>
      </c>
      <c r="C52" s="10" t="s">
        <v>55</v>
      </c>
      <c r="D52" s="10">
        <v>15</v>
      </c>
      <c r="E52" s="10" t="s">
        <v>135</v>
      </c>
      <c r="F52" s="11" t="s">
        <v>104</v>
      </c>
      <c r="G52" s="12" t="s">
        <v>296</v>
      </c>
      <c r="H52" s="11" t="s">
        <v>95</v>
      </c>
      <c r="I52" s="11" t="s">
        <v>60</v>
      </c>
      <c r="J52" s="10"/>
      <c r="K52" s="10" t="s">
        <v>61</v>
      </c>
      <c r="L52" s="13" t="s">
        <v>62</v>
      </c>
      <c r="M52" s="14" t="s">
        <v>174</v>
      </c>
      <c r="N52" s="15" t="s">
        <v>297</v>
      </c>
      <c r="O52" s="16"/>
      <c r="P52" s="14" t="s">
        <v>64</v>
      </c>
      <c r="Q52" s="17">
        <f t="shared" si="3"/>
        <v>3.631784205394864E-2</v>
      </c>
      <c r="R52" s="11"/>
      <c r="S52" s="18">
        <f t="shared" si="1"/>
        <v>118.61</v>
      </c>
      <c r="T52" s="18">
        <f t="shared" si="2"/>
        <v>123.08</v>
      </c>
    </row>
    <row r="53" spans="1:20" ht="28.8" x14ac:dyDescent="0.3">
      <c r="A53" s="9" t="s">
        <v>298</v>
      </c>
      <c r="B53" s="10" t="s">
        <v>54</v>
      </c>
      <c r="C53" s="10" t="s">
        <v>55</v>
      </c>
      <c r="D53" s="10">
        <v>15</v>
      </c>
      <c r="E53" s="10" t="s">
        <v>141</v>
      </c>
      <c r="F53" s="11" t="s">
        <v>284</v>
      </c>
      <c r="G53" s="12" t="s">
        <v>299</v>
      </c>
      <c r="H53" s="11" t="s">
        <v>206</v>
      </c>
      <c r="I53" s="11" t="s">
        <v>60</v>
      </c>
      <c r="J53" s="10"/>
      <c r="K53" s="10" t="s">
        <v>61</v>
      </c>
      <c r="L53" s="13" t="s">
        <v>62</v>
      </c>
      <c r="M53" s="14"/>
      <c r="N53" s="15" t="s">
        <v>300</v>
      </c>
      <c r="O53" s="16"/>
      <c r="P53" s="14" t="s">
        <v>64</v>
      </c>
      <c r="Q53" s="17">
        <f t="shared" si="3"/>
        <v>1.7614230903383415E-2</v>
      </c>
      <c r="R53" s="11"/>
      <c r="S53" s="18">
        <f t="shared" si="1"/>
        <v>56.33</v>
      </c>
      <c r="T53" s="18">
        <f t="shared" si="2"/>
        <v>57.34</v>
      </c>
    </row>
    <row r="54" spans="1:20" ht="28.8" x14ac:dyDescent="0.3">
      <c r="A54" s="9" t="s">
        <v>301</v>
      </c>
      <c r="B54" s="10" t="s">
        <v>54</v>
      </c>
      <c r="C54" s="10" t="s">
        <v>55</v>
      </c>
      <c r="D54" s="10">
        <v>15</v>
      </c>
      <c r="E54" s="10" t="s">
        <v>146</v>
      </c>
      <c r="F54" s="11" t="s">
        <v>228</v>
      </c>
      <c r="G54" s="12" t="s">
        <v>302</v>
      </c>
      <c r="H54" s="11" t="s">
        <v>117</v>
      </c>
      <c r="I54" s="11" t="s">
        <v>60</v>
      </c>
      <c r="J54" s="10"/>
      <c r="K54" s="10" t="s">
        <v>61</v>
      </c>
      <c r="L54" s="13" t="s">
        <v>62</v>
      </c>
      <c r="M54" s="14"/>
      <c r="N54" s="15" t="s">
        <v>303</v>
      </c>
      <c r="O54" s="16"/>
      <c r="P54" s="14" t="s">
        <v>64</v>
      </c>
      <c r="Q54" s="17">
        <f t="shared" si="3"/>
        <v>7.8333198740208262E-3</v>
      </c>
      <c r="R54" s="11"/>
      <c r="S54" s="18">
        <f t="shared" si="1"/>
        <v>122.86</v>
      </c>
      <c r="T54" s="18">
        <f t="shared" si="2"/>
        <v>123.83</v>
      </c>
    </row>
    <row r="55" spans="1:20" ht="28.8" x14ac:dyDescent="0.3">
      <c r="A55" s="9" t="s">
        <v>304</v>
      </c>
      <c r="B55" s="10" t="s">
        <v>54</v>
      </c>
      <c r="C55" s="10" t="s">
        <v>55</v>
      </c>
      <c r="D55" s="10">
        <v>15</v>
      </c>
      <c r="E55" s="10" t="s">
        <v>150</v>
      </c>
      <c r="F55" s="11" t="s">
        <v>305</v>
      </c>
      <c r="G55" s="12" t="s">
        <v>306</v>
      </c>
      <c r="H55" s="11" t="s">
        <v>307</v>
      </c>
      <c r="I55" s="11" t="s">
        <v>60</v>
      </c>
      <c r="J55" s="10"/>
      <c r="K55" s="10" t="s">
        <v>61</v>
      </c>
      <c r="L55" s="13" t="s">
        <v>62</v>
      </c>
      <c r="M55" s="14"/>
      <c r="N55" s="15" t="s">
        <v>308</v>
      </c>
      <c r="O55" s="16"/>
      <c r="P55" s="14" t="s">
        <v>64</v>
      </c>
      <c r="Q55" s="17">
        <f t="shared" si="3"/>
        <v>1.5754687980326814E-3</v>
      </c>
      <c r="R55" s="11"/>
      <c r="S55" s="18">
        <f t="shared" si="1"/>
        <v>259.83</v>
      </c>
      <c r="T55" s="18">
        <f t="shared" si="2"/>
        <v>260.24</v>
      </c>
    </row>
    <row r="56" spans="1:20" ht="28.8" x14ac:dyDescent="0.3">
      <c r="A56" s="9" t="s">
        <v>309</v>
      </c>
      <c r="B56" s="10" t="s">
        <v>54</v>
      </c>
      <c r="C56" s="10" t="s">
        <v>55</v>
      </c>
      <c r="D56" s="10">
        <v>16</v>
      </c>
      <c r="E56" s="10" t="s">
        <v>56</v>
      </c>
      <c r="F56" s="11" t="s">
        <v>310</v>
      </c>
      <c r="G56" s="12" t="s">
        <v>311</v>
      </c>
      <c r="H56" s="11" t="s">
        <v>312</v>
      </c>
      <c r="I56" s="11" t="s">
        <v>60</v>
      </c>
      <c r="J56" s="10"/>
      <c r="K56" s="10" t="s">
        <v>61</v>
      </c>
      <c r="L56" s="13" t="s">
        <v>62</v>
      </c>
      <c r="M56" s="14"/>
      <c r="N56" s="15" t="s">
        <v>313</v>
      </c>
      <c r="O56" s="16"/>
      <c r="P56" s="14" t="s">
        <v>64</v>
      </c>
      <c r="Q56" s="17">
        <f t="shared" si="3"/>
        <v>9.7647581003108032E-3</v>
      </c>
      <c r="R56" s="11"/>
      <c r="S56" s="18">
        <f t="shared" si="1"/>
        <v>22.31</v>
      </c>
      <c r="T56" s="18">
        <f t="shared" si="2"/>
        <v>22.53</v>
      </c>
    </row>
    <row r="57" spans="1:20" ht="28.8" x14ac:dyDescent="0.3">
      <c r="A57" s="9" t="s">
        <v>314</v>
      </c>
      <c r="B57" s="10" t="s">
        <v>54</v>
      </c>
      <c r="C57" s="10" t="s">
        <v>55</v>
      </c>
      <c r="D57" s="10">
        <v>16</v>
      </c>
      <c r="E57" s="10" t="s">
        <v>66</v>
      </c>
      <c r="F57" s="11" t="s">
        <v>315</v>
      </c>
      <c r="G57" s="12" t="s">
        <v>316</v>
      </c>
      <c r="H57" s="11" t="s">
        <v>317</v>
      </c>
      <c r="I57" s="11" t="s">
        <v>60</v>
      </c>
      <c r="J57" s="10"/>
      <c r="K57" s="10" t="s">
        <v>61</v>
      </c>
      <c r="L57" s="13" t="s">
        <v>62</v>
      </c>
      <c r="M57" s="14"/>
      <c r="N57" s="15" t="s">
        <v>318</v>
      </c>
      <c r="O57" s="16"/>
      <c r="P57" s="14" t="s">
        <v>64</v>
      </c>
      <c r="Q57" s="17">
        <f t="shared" si="3"/>
        <v>2.0116676725001026E-4</v>
      </c>
      <c r="R57" s="11"/>
      <c r="S57" s="18">
        <f t="shared" si="1"/>
        <v>49.7</v>
      </c>
      <c r="T57" s="18">
        <f t="shared" si="2"/>
        <v>49.71</v>
      </c>
    </row>
    <row r="58" spans="1:20" ht="28.8" x14ac:dyDescent="0.3">
      <c r="A58" s="9" t="s">
        <v>319</v>
      </c>
      <c r="B58" s="10" t="s">
        <v>54</v>
      </c>
      <c r="C58" s="10" t="s">
        <v>55</v>
      </c>
      <c r="D58" s="10">
        <v>16</v>
      </c>
      <c r="E58" s="10" t="s">
        <v>70</v>
      </c>
      <c r="F58" s="11" t="s">
        <v>104</v>
      </c>
      <c r="G58" s="12" t="s">
        <v>320</v>
      </c>
      <c r="H58" s="11" t="s">
        <v>321</v>
      </c>
      <c r="I58" s="11" t="s">
        <v>60</v>
      </c>
      <c r="J58" s="10"/>
      <c r="K58" s="10" t="s">
        <v>61</v>
      </c>
      <c r="L58" s="13" t="s">
        <v>62</v>
      </c>
      <c r="M58" s="14"/>
      <c r="N58" s="15" t="s">
        <v>322</v>
      </c>
      <c r="O58" s="16"/>
      <c r="P58" s="14" t="s">
        <v>64</v>
      </c>
      <c r="Q58" s="17">
        <f t="shared" si="3"/>
        <v>1.3268220768451099E-2</v>
      </c>
      <c r="R58" s="11"/>
      <c r="S58" s="18">
        <f t="shared" si="1"/>
        <v>107.09</v>
      </c>
      <c r="T58" s="18">
        <f t="shared" si="2"/>
        <v>108.53</v>
      </c>
    </row>
    <row r="59" spans="1:20" ht="28.8" x14ac:dyDescent="0.3">
      <c r="A59" s="9" t="s">
        <v>323</v>
      </c>
      <c r="B59" s="10" t="s">
        <v>54</v>
      </c>
      <c r="C59" s="10" t="s">
        <v>55</v>
      </c>
      <c r="D59" s="10">
        <v>16</v>
      </c>
      <c r="E59" s="10" t="s">
        <v>75</v>
      </c>
      <c r="F59" s="11" t="s">
        <v>324</v>
      </c>
      <c r="G59" s="12" t="s">
        <v>325</v>
      </c>
      <c r="H59" s="11" t="s">
        <v>326</v>
      </c>
      <c r="I59" s="11" t="s">
        <v>60</v>
      </c>
      <c r="J59" s="10"/>
      <c r="K59" s="10" t="s">
        <v>61</v>
      </c>
      <c r="L59" s="13" t="s">
        <v>62</v>
      </c>
      <c r="M59" s="14"/>
      <c r="N59" s="15" t="s">
        <v>327</v>
      </c>
      <c r="O59" s="16"/>
      <c r="P59" s="14" t="s">
        <v>64</v>
      </c>
      <c r="Q59" s="17">
        <f t="shared" si="3"/>
        <v>2.306482614013642E-2</v>
      </c>
      <c r="R59" s="11"/>
      <c r="S59" s="18">
        <f t="shared" si="1"/>
        <v>223.64</v>
      </c>
      <c r="T59" s="18">
        <f t="shared" si="2"/>
        <v>228.92000000000002</v>
      </c>
    </row>
    <row r="60" spans="1:20" ht="28.8" x14ac:dyDescent="0.3">
      <c r="A60" s="9" t="s">
        <v>328</v>
      </c>
      <c r="B60" s="10" t="s">
        <v>54</v>
      </c>
      <c r="C60" s="10" t="s">
        <v>55</v>
      </c>
      <c r="D60" s="10">
        <v>16</v>
      </c>
      <c r="E60" s="10" t="s">
        <v>80</v>
      </c>
      <c r="F60" s="11" t="s">
        <v>324</v>
      </c>
      <c r="G60" s="12" t="s">
        <v>329</v>
      </c>
      <c r="H60" s="11" t="s">
        <v>330</v>
      </c>
      <c r="I60" s="11" t="s">
        <v>60</v>
      </c>
      <c r="J60" s="10"/>
      <c r="K60" s="10" t="s">
        <v>61</v>
      </c>
      <c r="L60" s="13" t="s">
        <v>62</v>
      </c>
      <c r="M60" s="14"/>
      <c r="N60" s="15" t="s">
        <v>331</v>
      </c>
      <c r="O60" s="16"/>
      <c r="P60" s="14" t="s">
        <v>64</v>
      </c>
      <c r="Q60" s="17">
        <f t="shared" si="3"/>
        <v>1.996713229252265E-2</v>
      </c>
      <c r="R60" s="11"/>
      <c r="S60" s="18">
        <f t="shared" si="1"/>
        <v>477.08</v>
      </c>
      <c r="T60" s="18">
        <f t="shared" si="2"/>
        <v>486.8</v>
      </c>
    </row>
    <row r="61" spans="1:20" ht="28.8" x14ac:dyDescent="0.3">
      <c r="A61" s="9" t="s">
        <v>332</v>
      </c>
      <c r="B61" s="10" t="s">
        <v>54</v>
      </c>
      <c r="C61" s="10" t="s">
        <v>55</v>
      </c>
      <c r="D61" s="10">
        <v>16</v>
      </c>
      <c r="E61" s="10" t="s">
        <v>86</v>
      </c>
      <c r="F61" s="11" t="s">
        <v>324</v>
      </c>
      <c r="G61" s="12" t="s">
        <v>333</v>
      </c>
      <c r="H61" s="11" t="s">
        <v>330</v>
      </c>
      <c r="I61" s="11" t="s">
        <v>60</v>
      </c>
      <c r="J61" s="10"/>
      <c r="K61" s="10" t="s">
        <v>61</v>
      </c>
      <c r="L61" s="13" t="s">
        <v>62</v>
      </c>
      <c r="M61" s="14"/>
      <c r="N61" s="15" t="s">
        <v>334</v>
      </c>
      <c r="O61" s="16"/>
      <c r="P61" s="14" t="s">
        <v>64</v>
      </c>
      <c r="Q61" s="17">
        <f t="shared" si="3"/>
        <v>2.563432144763645E-2</v>
      </c>
      <c r="R61" s="11"/>
      <c r="S61" s="18">
        <f t="shared" si="1"/>
        <v>894.38</v>
      </c>
      <c r="T61" s="18">
        <f t="shared" si="2"/>
        <v>917.91</v>
      </c>
    </row>
    <row r="62" spans="1:20" ht="28.8" x14ac:dyDescent="0.3">
      <c r="A62" s="9" t="s">
        <v>335</v>
      </c>
      <c r="B62" s="10" t="s">
        <v>54</v>
      </c>
      <c r="C62" s="10" t="s">
        <v>55</v>
      </c>
      <c r="D62" s="10">
        <v>16</v>
      </c>
      <c r="E62" s="10" t="s">
        <v>92</v>
      </c>
      <c r="F62" s="11" t="s">
        <v>336</v>
      </c>
      <c r="G62" s="12" t="s">
        <v>337</v>
      </c>
      <c r="H62" s="11" t="s">
        <v>72</v>
      </c>
      <c r="I62" s="11" t="s">
        <v>60</v>
      </c>
      <c r="J62" s="10"/>
      <c r="K62" s="10" t="s">
        <v>61</v>
      </c>
      <c r="L62" s="13" t="s">
        <v>62</v>
      </c>
      <c r="M62" s="14"/>
      <c r="N62" s="15" t="s">
        <v>338</v>
      </c>
      <c r="O62" s="16"/>
      <c r="P62" s="14" t="s">
        <v>64</v>
      </c>
      <c r="Q62" s="17">
        <f t="shared" si="3"/>
        <v>2.3153692614770533E-2</v>
      </c>
      <c r="R62" s="11"/>
      <c r="S62" s="18">
        <f t="shared" si="1"/>
        <v>24.47</v>
      </c>
      <c r="T62" s="18">
        <f t="shared" si="2"/>
        <v>25.05</v>
      </c>
    </row>
    <row r="63" spans="1:20" ht="28.8" x14ac:dyDescent="0.3">
      <c r="A63" s="9" t="s">
        <v>339</v>
      </c>
      <c r="B63" s="10" t="s">
        <v>54</v>
      </c>
      <c r="C63" s="10" t="s">
        <v>55</v>
      </c>
      <c r="D63" s="10">
        <v>16</v>
      </c>
      <c r="E63" s="10" t="s">
        <v>98</v>
      </c>
      <c r="F63" s="11" t="s">
        <v>187</v>
      </c>
      <c r="G63" s="12" t="s">
        <v>340</v>
      </c>
      <c r="H63" s="11" t="s">
        <v>341</v>
      </c>
      <c r="I63" s="11" t="s">
        <v>60</v>
      </c>
      <c r="J63" s="10"/>
      <c r="K63" s="10" t="s">
        <v>61</v>
      </c>
      <c r="L63" s="13" t="s">
        <v>62</v>
      </c>
      <c r="M63" s="14"/>
      <c r="N63" s="15" t="s">
        <v>342</v>
      </c>
      <c r="O63" s="16"/>
      <c r="P63" s="14" t="s">
        <v>64</v>
      </c>
      <c r="Q63" s="17">
        <f t="shared" si="3"/>
        <v>7.4170220656406194E-3</v>
      </c>
      <c r="R63" s="11"/>
      <c r="S63" s="18">
        <f t="shared" si="1"/>
        <v>53.53</v>
      </c>
      <c r="T63" s="18">
        <f t="shared" si="2"/>
        <v>53.93</v>
      </c>
    </row>
    <row r="64" spans="1:20" ht="28.8" x14ac:dyDescent="0.3">
      <c r="A64" s="9" t="s">
        <v>343</v>
      </c>
      <c r="B64" s="10" t="s">
        <v>54</v>
      </c>
      <c r="C64" s="10" t="s">
        <v>55</v>
      </c>
      <c r="D64" s="10">
        <v>16</v>
      </c>
      <c r="E64" s="10" t="s">
        <v>103</v>
      </c>
      <c r="F64" s="11" t="s">
        <v>104</v>
      </c>
      <c r="G64" s="12" t="s">
        <v>344</v>
      </c>
      <c r="H64" s="11" t="s">
        <v>132</v>
      </c>
      <c r="I64" s="11" t="s">
        <v>60</v>
      </c>
      <c r="J64" s="10"/>
      <c r="K64" s="10" t="s">
        <v>61</v>
      </c>
      <c r="L64" s="13" t="s">
        <v>62</v>
      </c>
      <c r="M64" s="14"/>
      <c r="N64" s="15" t="s">
        <v>345</v>
      </c>
      <c r="O64" s="16"/>
      <c r="P64" s="14" t="s">
        <v>64</v>
      </c>
      <c r="Q64" s="17">
        <f t="shared" si="3"/>
        <v>5.197505197505394E-4</v>
      </c>
      <c r="R64" s="11"/>
      <c r="S64" s="18">
        <f t="shared" si="1"/>
        <v>115.38</v>
      </c>
      <c r="T64" s="18">
        <f t="shared" si="2"/>
        <v>115.44</v>
      </c>
    </row>
    <row r="65" spans="1:20" ht="28.8" x14ac:dyDescent="0.3">
      <c r="A65" s="9" t="s">
        <v>346</v>
      </c>
      <c r="B65" s="10" t="s">
        <v>54</v>
      </c>
      <c r="C65" s="10" t="s">
        <v>55</v>
      </c>
      <c r="D65" s="10">
        <v>16</v>
      </c>
      <c r="E65" s="10" t="s">
        <v>109</v>
      </c>
      <c r="F65" s="11" t="s">
        <v>347</v>
      </c>
      <c r="G65" s="12" t="s">
        <v>348</v>
      </c>
      <c r="H65" s="11" t="s">
        <v>349</v>
      </c>
      <c r="I65" s="11" t="s">
        <v>60</v>
      </c>
      <c r="J65" s="10"/>
      <c r="K65" s="10" t="s">
        <v>61</v>
      </c>
      <c r="L65" s="13" t="s">
        <v>62</v>
      </c>
      <c r="M65" s="14"/>
      <c r="N65" s="15" t="s">
        <v>350</v>
      </c>
      <c r="O65" s="16"/>
      <c r="P65" s="14" t="s">
        <v>64</v>
      </c>
      <c r="Q65" s="17">
        <f t="shared" si="3"/>
        <v>2.5837988826815712E-2</v>
      </c>
      <c r="R65" s="11"/>
      <c r="S65" s="18">
        <f t="shared" si="1"/>
        <v>27.9</v>
      </c>
      <c r="T65" s="18">
        <f t="shared" si="2"/>
        <v>28.64</v>
      </c>
    </row>
    <row r="66" spans="1:20" ht="28.8" x14ac:dyDescent="0.3">
      <c r="A66" s="9" t="s">
        <v>351</v>
      </c>
      <c r="B66" s="10" t="s">
        <v>54</v>
      </c>
      <c r="C66" s="10" t="s">
        <v>55</v>
      </c>
      <c r="D66" s="10">
        <v>16</v>
      </c>
      <c r="E66" s="10" t="s">
        <v>115</v>
      </c>
      <c r="F66" s="11" t="s">
        <v>352</v>
      </c>
      <c r="G66" s="12" t="s">
        <v>353</v>
      </c>
      <c r="H66" s="11" t="s">
        <v>354</v>
      </c>
      <c r="I66" s="11" t="s">
        <v>60</v>
      </c>
      <c r="J66" s="10"/>
      <c r="K66" s="10" t="s">
        <v>61</v>
      </c>
      <c r="L66" s="13" t="s">
        <v>62</v>
      </c>
      <c r="M66" s="14"/>
      <c r="N66" s="15" t="s">
        <v>355</v>
      </c>
      <c r="O66" s="16"/>
      <c r="P66" s="14" t="s">
        <v>64</v>
      </c>
      <c r="Q66" s="17">
        <f t="shared" ref="Q66:Q97" si="4">IF(OR(S66="",T66=""),"",(T66-S66)/T66)</f>
        <v>1.880424300867891E-2</v>
      </c>
      <c r="R66" s="11"/>
      <c r="S66" s="18">
        <f t="shared" ref="S66:S129" si="5">IF(G66="","",IF(ISNUMBER(SEARCH(":",G66)),VALUE(LEFT(G66,SEARCH(":",G66)-1))*60+VALUE(MID(G66,SEARCH(":",G66)+1,99)),VALUE(G66)))</f>
        <v>61.05</v>
      </c>
      <c r="T66" s="18">
        <f t="shared" ref="T66:T129" si="6">IF(N66="","",IF(ISNUMBER(SEARCH(":",N66)),VALUE(LEFT(N66,SEARCH(":",N66)-1))*60+VALUE(MID(N66,SEARCH(":",N66)+1,99)),VALUE(N66)))</f>
        <v>62.22</v>
      </c>
    </row>
    <row r="67" spans="1:20" ht="28.8" x14ac:dyDescent="0.3">
      <c r="A67" s="9" t="s">
        <v>356</v>
      </c>
      <c r="B67" s="10" t="s">
        <v>54</v>
      </c>
      <c r="C67" s="10" t="s">
        <v>55</v>
      </c>
      <c r="D67" s="10">
        <v>16</v>
      </c>
      <c r="E67" s="10" t="s">
        <v>120</v>
      </c>
      <c r="F67" s="11" t="s">
        <v>352</v>
      </c>
      <c r="G67" s="12" t="s">
        <v>357</v>
      </c>
      <c r="H67" s="11" t="s">
        <v>358</v>
      </c>
      <c r="I67" s="11" t="s">
        <v>60</v>
      </c>
      <c r="J67" s="10"/>
      <c r="K67" s="10" t="s">
        <v>61</v>
      </c>
      <c r="L67" s="13" t="s">
        <v>62</v>
      </c>
      <c r="M67" s="14"/>
      <c r="N67" s="15" t="s">
        <v>359</v>
      </c>
      <c r="O67" s="16"/>
      <c r="P67" s="14" t="s">
        <v>64</v>
      </c>
      <c r="Q67" s="17">
        <f t="shared" si="4"/>
        <v>1.1213124623720719E-2</v>
      </c>
      <c r="R67" s="11"/>
      <c r="S67" s="18">
        <f t="shared" si="5"/>
        <v>131.38999999999999</v>
      </c>
      <c r="T67" s="18">
        <f t="shared" si="6"/>
        <v>132.88</v>
      </c>
    </row>
    <row r="68" spans="1:20" ht="28.8" x14ac:dyDescent="0.3">
      <c r="A68" s="9" t="s">
        <v>360</v>
      </c>
      <c r="B68" s="10" t="s">
        <v>54</v>
      </c>
      <c r="C68" s="10" t="s">
        <v>55</v>
      </c>
      <c r="D68" s="10">
        <v>16</v>
      </c>
      <c r="E68" s="10" t="s">
        <v>126</v>
      </c>
      <c r="F68" s="11" t="s">
        <v>361</v>
      </c>
      <c r="G68" s="12" t="s">
        <v>362</v>
      </c>
      <c r="H68" s="11" t="s">
        <v>363</v>
      </c>
      <c r="I68" s="11" t="s">
        <v>60</v>
      </c>
      <c r="J68" s="10"/>
      <c r="K68" s="10" t="s">
        <v>61</v>
      </c>
      <c r="L68" s="13" t="s">
        <v>62</v>
      </c>
      <c r="M68" s="14"/>
      <c r="N68" s="15" t="s">
        <v>364</v>
      </c>
      <c r="O68" s="16"/>
      <c r="P68" s="14" t="s">
        <v>64</v>
      </c>
      <c r="Q68" s="17">
        <f t="shared" si="4"/>
        <v>1.3765182186234813E-2</v>
      </c>
      <c r="R68" s="11"/>
      <c r="S68" s="18">
        <f t="shared" si="5"/>
        <v>24.36</v>
      </c>
      <c r="T68" s="18">
        <f t="shared" si="6"/>
        <v>24.7</v>
      </c>
    </row>
    <row r="69" spans="1:20" ht="28.8" x14ac:dyDescent="0.3">
      <c r="A69" s="9" t="s">
        <v>365</v>
      </c>
      <c r="B69" s="10" t="s">
        <v>54</v>
      </c>
      <c r="C69" s="10" t="s">
        <v>55</v>
      </c>
      <c r="D69" s="10">
        <v>16</v>
      </c>
      <c r="E69" s="10" t="s">
        <v>130</v>
      </c>
      <c r="F69" s="11" t="s">
        <v>104</v>
      </c>
      <c r="G69" s="12" t="s">
        <v>366</v>
      </c>
      <c r="H69" s="11" t="s">
        <v>367</v>
      </c>
      <c r="I69" s="11" t="s">
        <v>60</v>
      </c>
      <c r="J69" s="10"/>
      <c r="K69" s="10" t="s">
        <v>61</v>
      </c>
      <c r="L69" s="13" t="s">
        <v>62</v>
      </c>
      <c r="M69" s="14"/>
      <c r="N69" s="15" t="s">
        <v>368</v>
      </c>
      <c r="O69" s="16"/>
      <c r="P69" s="14" t="s">
        <v>64</v>
      </c>
      <c r="Q69" s="17">
        <f t="shared" si="4"/>
        <v>3.7064492216457162E-3</v>
      </c>
      <c r="R69" s="11"/>
      <c r="S69" s="18">
        <f t="shared" si="5"/>
        <v>53.76</v>
      </c>
      <c r="T69" s="18">
        <f t="shared" si="6"/>
        <v>53.96</v>
      </c>
    </row>
    <row r="70" spans="1:20" ht="28.8" x14ac:dyDescent="0.3">
      <c r="A70" s="9" t="s">
        <v>369</v>
      </c>
      <c r="B70" s="10" t="s">
        <v>54</v>
      </c>
      <c r="C70" s="10" t="s">
        <v>55</v>
      </c>
      <c r="D70" s="10">
        <v>16</v>
      </c>
      <c r="E70" s="10" t="s">
        <v>135</v>
      </c>
      <c r="F70" s="11" t="s">
        <v>104</v>
      </c>
      <c r="G70" s="12" t="s">
        <v>370</v>
      </c>
      <c r="H70" s="11" t="s">
        <v>371</v>
      </c>
      <c r="I70" s="11" t="s">
        <v>60</v>
      </c>
      <c r="J70" s="10"/>
      <c r="K70" s="10" t="s">
        <v>61</v>
      </c>
      <c r="L70" s="13" t="s">
        <v>62</v>
      </c>
      <c r="M70" s="14"/>
      <c r="N70" s="15" t="s">
        <v>372</v>
      </c>
      <c r="O70" s="16"/>
      <c r="P70" s="14" t="s">
        <v>64</v>
      </c>
      <c r="Q70" s="17">
        <f t="shared" si="4"/>
        <v>2.3491903683194877E-2</v>
      </c>
      <c r="R70" s="11"/>
      <c r="S70" s="18">
        <f t="shared" si="5"/>
        <v>116.39</v>
      </c>
      <c r="T70" s="18">
        <f t="shared" si="6"/>
        <v>119.19</v>
      </c>
    </row>
    <row r="71" spans="1:20" ht="28.8" x14ac:dyDescent="0.3">
      <c r="A71" s="9" t="s">
        <v>373</v>
      </c>
      <c r="B71" s="10" t="s">
        <v>54</v>
      </c>
      <c r="C71" s="10" t="s">
        <v>55</v>
      </c>
      <c r="D71" s="10">
        <v>16</v>
      </c>
      <c r="E71" s="10" t="s">
        <v>141</v>
      </c>
      <c r="F71" s="11" t="s">
        <v>104</v>
      </c>
      <c r="G71" s="12" t="s">
        <v>374</v>
      </c>
      <c r="H71" s="11" t="s">
        <v>100</v>
      </c>
      <c r="I71" s="11" t="s">
        <v>60</v>
      </c>
      <c r="J71" s="10"/>
      <c r="K71" s="10" t="s">
        <v>61</v>
      </c>
      <c r="L71" s="13" t="s">
        <v>62</v>
      </c>
      <c r="M71" s="14"/>
      <c r="N71" s="15" t="s">
        <v>375</v>
      </c>
      <c r="O71" s="16"/>
      <c r="P71" s="14" t="s">
        <v>64</v>
      </c>
      <c r="Q71" s="17">
        <f t="shared" si="4"/>
        <v>5.3276505061269994E-4</v>
      </c>
      <c r="R71" s="11"/>
      <c r="S71" s="18">
        <f t="shared" si="5"/>
        <v>56.28</v>
      </c>
      <c r="T71" s="18">
        <f t="shared" si="6"/>
        <v>56.31</v>
      </c>
    </row>
    <row r="72" spans="1:20" ht="28.8" x14ac:dyDescent="0.3">
      <c r="A72" s="9" t="s">
        <v>376</v>
      </c>
      <c r="B72" s="10" t="s">
        <v>54</v>
      </c>
      <c r="C72" s="10" t="s">
        <v>55</v>
      </c>
      <c r="D72" s="10">
        <v>16</v>
      </c>
      <c r="E72" s="10" t="s">
        <v>146</v>
      </c>
      <c r="F72" s="11" t="s">
        <v>104</v>
      </c>
      <c r="G72" s="12" t="s">
        <v>377</v>
      </c>
      <c r="H72" s="11" t="s">
        <v>378</v>
      </c>
      <c r="I72" s="11" t="s">
        <v>60</v>
      </c>
      <c r="J72" s="10"/>
      <c r="K72" s="10" t="s">
        <v>61</v>
      </c>
      <c r="L72" s="13" t="s">
        <v>62</v>
      </c>
      <c r="M72" s="14"/>
      <c r="N72" s="15" t="s">
        <v>379</v>
      </c>
      <c r="O72" s="16"/>
      <c r="P72" s="14" t="s">
        <v>64</v>
      </c>
      <c r="Q72" s="17">
        <f t="shared" si="4"/>
        <v>1.3509033648267823E-2</v>
      </c>
      <c r="R72" s="11"/>
      <c r="S72" s="18">
        <f t="shared" si="5"/>
        <v>119.03</v>
      </c>
      <c r="T72" s="18">
        <f t="shared" si="6"/>
        <v>120.66</v>
      </c>
    </row>
    <row r="73" spans="1:20" ht="28.8" x14ac:dyDescent="0.3">
      <c r="A73" s="9" t="s">
        <v>380</v>
      </c>
      <c r="B73" s="10" t="s">
        <v>54</v>
      </c>
      <c r="C73" s="10" t="s">
        <v>55</v>
      </c>
      <c r="D73" s="10">
        <v>16</v>
      </c>
      <c r="E73" s="10" t="s">
        <v>150</v>
      </c>
      <c r="F73" s="11" t="s">
        <v>381</v>
      </c>
      <c r="G73" s="12" t="s">
        <v>382</v>
      </c>
      <c r="H73" s="11" t="s">
        <v>383</v>
      </c>
      <c r="I73" s="11" t="s">
        <v>60</v>
      </c>
      <c r="J73" s="10"/>
      <c r="K73" s="10" t="s">
        <v>61</v>
      </c>
      <c r="L73" s="13" t="s">
        <v>62</v>
      </c>
      <c r="M73" s="14"/>
      <c r="N73" s="15" t="s">
        <v>384</v>
      </c>
      <c r="O73" s="16"/>
      <c r="P73" s="14" t="s">
        <v>64</v>
      </c>
      <c r="Q73" s="17">
        <f t="shared" si="4"/>
        <v>1.1901992711483265E-2</v>
      </c>
      <c r="R73" s="11"/>
      <c r="S73" s="18">
        <f t="shared" si="5"/>
        <v>254.87</v>
      </c>
      <c r="T73" s="18">
        <f t="shared" si="6"/>
        <v>257.94</v>
      </c>
    </row>
    <row r="74" spans="1:20" ht="28.8" x14ac:dyDescent="0.3">
      <c r="A74" s="9" t="s">
        <v>385</v>
      </c>
      <c r="B74" s="10" t="s">
        <v>54</v>
      </c>
      <c r="C74" s="10" t="s">
        <v>55</v>
      </c>
      <c r="D74" s="10">
        <v>17</v>
      </c>
      <c r="E74" s="10" t="s">
        <v>56</v>
      </c>
      <c r="F74" s="11" t="s">
        <v>386</v>
      </c>
      <c r="G74" s="12" t="s">
        <v>387</v>
      </c>
      <c r="H74" s="11" t="s">
        <v>388</v>
      </c>
      <c r="I74" s="11" t="s">
        <v>60</v>
      </c>
      <c r="J74" s="10"/>
      <c r="K74" s="10" t="s">
        <v>61</v>
      </c>
      <c r="L74" s="13" t="s">
        <v>62</v>
      </c>
      <c r="M74" s="14"/>
      <c r="N74" s="15" t="s">
        <v>389</v>
      </c>
      <c r="O74" s="16"/>
      <c r="P74" s="14" t="s">
        <v>64</v>
      </c>
      <c r="Q74" s="17">
        <f t="shared" si="4"/>
        <v>7.1652485445587374E-3</v>
      </c>
      <c r="R74" s="11"/>
      <c r="S74" s="18">
        <f t="shared" si="5"/>
        <v>22.17</v>
      </c>
      <c r="T74" s="18">
        <f t="shared" si="6"/>
        <v>22.33</v>
      </c>
    </row>
    <row r="75" spans="1:20" ht="28.8" x14ac:dyDescent="0.3">
      <c r="A75" s="9" t="s">
        <v>390</v>
      </c>
      <c r="B75" s="10" t="s">
        <v>54</v>
      </c>
      <c r="C75" s="10" t="s">
        <v>55</v>
      </c>
      <c r="D75" s="10">
        <v>17</v>
      </c>
      <c r="E75" s="10" t="s">
        <v>66</v>
      </c>
      <c r="F75" s="11" t="s">
        <v>386</v>
      </c>
      <c r="G75" s="12" t="s">
        <v>391</v>
      </c>
      <c r="H75" s="11" t="s">
        <v>223</v>
      </c>
      <c r="I75" s="11" t="s">
        <v>60</v>
      </c>
      <c r="J75" s="10"/>
      <c r="K75" s="10" t="s">
        <v>61</v>
      </c>
      <c r="L75" s="13" t="s">
        <v>62</v>
      </c>
      <c r="M75" s="14"/>
      <c r="N75" s="15" t="s">
        <v>392</v>
      </c>
      <c r="O75" s="16"/>
      <c r="P75" s="14" t="s">
        <v>64</v>
      </c>
      <c r="Q75" s="17">
        <f t="shared" si="4"/>
        <v>4.6967531141514579E-3</v>
      </c>
      <c r="R75" s="11"/>
      <c r="S75" s="18">
        <f t="shared" si="5"/>
        <v>48.74</v>
      </c>
      <c r="T75" s="18">
        <f t="shared" si="6"/>
        <v>48.97</v>
      </c>
    </row>
    <row r="76" spans="1:20" ht="28.8" x14ac:dyDescent="0.3">
      <c r="A76" s="9" t="s">
        <v>393</v>
      </c>
      <c r="B76" s="10" t="s">
        <v>54</v>
      </c>
      <c r="C76" s="10" t="s">
        <v>55</v>
      </c>
      <c r="D76" s="10">
        <v>17</v>
      </c>
      <c r="E76" s="10" t="s">
        <v>70</v>
      </c>
      <c r="F76" s="11" t="s">
        <v>324</v>
      </c>
      <c r="G76" s="12" t="s">
        <v>394</v>
      </c>
      <c r="H76" s="11" t="s">
        <v>395</v>
      </c>
      <c r="I76" s="11" t="s">
        <v>60</v>
      </c>
      <c r="J76" s="10"/>
      <c r="K76" s="10" t="s">
        <v>61</v>
      </c>
      <c r="L76" s="13" t="s">
        <v>62</v>
      </c>
      <c r="M76" s="14"/>
      <c r="N76" s="15" t="s">
        <v>396</v>
      </c>
      <c r="O76" s="16"/>
      <c r="P76" s="14" t="s">
        <v>64</v>
      </c>
      <c r="Q76" s="17">
        <f t="shared" si="4"/>
        <v>7.1694599627561469E-3</v>
      </c>
      <c r="R76" s="11"/>
      <c r="S76" s="18">
        <f t="shared" si="5"/>
        <v>106.63</v>
      </c>
      <c r="T76" s="18">
        <f t="shared" si="6"/>
        <v>107.4</v>
      </c>
    </row>
    <row r="77" spans="1:20" ht="28.8" x14ac:dyDescent="0.3">
      <c r="A77" s="9" t="s">
        <v>397</v>
      </c>
      <c r="B77" s="10" t="s">
        <v>54</v>
      </c>
      <c r="C77" s="10" t="s">
        <v>55</v>
      </c>
      <c r="D77" s="10">
        <v>17</v>
      </c>
      <c r="E77" s="10" t="s">
        <v>75</v>
      </c>
      <c r="F77" s="11" t="s">
        <v>398</v>
      </c>
      <c r="G77" s="12" t="s">
        <v>399</v>
      </c>
      <c r="H77" s="11" t="s">
        <v>400</v>
      </c>
      <c r="I77" s="11" t="s">
        <v>60</v>
      </c>
      <c r="J77" s="10"/>
      <c r="K77" s="10" t="s">
        <v>61</v>
      </c>
      <c r="L77" s="13" t="s">
        <v>62</v>
      </c>
      <c r="M77" s="14"/>
      <c r="N77" s="15" t="s">
        <v>401</v>
      </c>
      <c r="O77" s="16"/>
      <c r="P77" s="14" t="s">
        <v>64</v>
      </c>
      <c r="Q77" s="17">
        <f t="shared" si="4"/>
        <v>1.0199614778497566E-2</v>
      </c>
      <c r="R77" s="11"/>
      <c r="S77" s="18">
        <f t="shared" si="5"/>
        <v>226.11</v>
      </c>
      <c r="T77" s="18">
        <f t="shared" si="6"/>
        <v>228.44</v>
      </c>
    </row>
    <row r="78" spans="1:20" ht="28.8" x14ac:dyDescent="0.3">
      <c r="A78" s="9" t="s">
        <v>402</v>
      </c>
      <c r="B78" s="10" t="s">
        <v>54</v>
      </c>
      <c r="C78" s="10" t="s">
        <v>55</v>
      </c>
      <c r="D78" s="10">
        <v>17</v>
      </c>
      <c r="E78" s="10" t="s">
        <v>80</v>
      </c>
      <c r="F78" s="11" t="s">
        <v>398</v>
      </c>
      <c r="G78" s="12" t="s">
        <v>403</v>
      </c>
      <c r="H78" s="11" t="s">
        <v>404</v>
      </c>
      <c r="I78" s="11" t="s">
        <v>60</v>
      </c>
      <c r="J78" s="10"/>
      <c r="K78" s="10" t="s">
        <v>61</v>
      </c>
      <c r="L78" s="13" t="s">
        <v>62</v>
      </c>
      <c r="M78" s="14"/>
      <c r="N78" s="15" t="s">
        <v>405</v>
      </c>
      <c r="O78" s="16"/>
      <c r="P78" s="14" t="s">
        <v>64</v>
      </c>
      <c r="Q78" s="17">
        <f t="shared" si="4"/>
        <v>2.5434060621348561E-3</v>
      </c>
      <c r="R78" s="11"/>
      <c r="S78" s="18">
        <f t="shared" si="5"/>
        <v>474.53</v>
      </c>
      <c r="T78" s="18">
        <f t="shared" si="6"/>
        <v>475.74</v>
      </c>
    </row>
    <row r="79" spans="1:20" ht="28.8" x14ac:dyDescent="0.3">
      <c r="A79" s="9" t="s">
        <v>406</v>
      </c>
      <c r="B79" s="10" t="s">
        <v>54</v>
      </c>
      <c r="C79" s="10" t="s">
        <v>55</v>
      </c>
      <c r="D79" s="10">
        <v>17</v>
      </c>
      <c r="E79" s="10" t="s">
        <v>86</v>
      </c>
      <c r="F79" s="11" t="s">
        <v>407</v>
      </c>
      <c r="G79" s="12" t="s">
        <v>408</v>
      </c>
      <c r="H79" s="11" t="s">
        <v>409</v>
      </c>
      <c r="I79" s="11" t="s">
        <v>60</v>
      </c>
      <c r="J79" s="10"/>
      <c r="K79" s="10" t="s">
        <v>61</v>
      </c>
      <c r="L79" s="13" t="s">
        <v>62</v>
      </c>
      <c r="M79" s="14"/>
      <c r="N79" s="15" t="s">
        <v>410</v>
      </c>
      <c r="O79" s="16"/>
      <c r="P79" s="14" t="s">
        <v>64</v>
      </c>
      <c r="Q79" s="17">
        <f t="shared" si="4"/>
        <v>3.0415495432185324E-3</v>
      </c>
      <c r="R79" s="11"/>
      <c r="S79" s="18">
        <f t="shared" si="5"/>
        <v>907.95</v>
      </c>
      <c r="T79" s="18">
        <f t="shared" si="6"/>
        <v>910.72</v>
      </c>
    </row>
    <row r="80" spans="1:20" ht="28.8" x14ac:dyDescent="0.3">
      <c r="A80" s="9" t="s">
        <v>411</v>
      </c>
      <c r="B80" s="10" t="s">
        <v>54</v>
      </c>
      <c r="C80" s="10" t="s">
        <v>55</v>
      </c>
      <c r="D80" s="10">
        <v>17</v>
      </c>
      <c r="E80" s="10" t="s">
        <v>92</v>
      </c>
      <c r="F80" s="11" t="s">
        <v>265</v>
      </c>
      <c r="G80" s="12" t="s">
        <v>412</v>
      </c>
      <c r="H80" s="11" t="s">
        <v>413</v>
      </c>
      <c r="I80" s="11" t="s">
        <v>60</v>
      </c>
      <c r="J80" s="10"/>
      <c r="K80" s="10" t="s">
        <v>61</v>
      </c>
      <c r="L80" s="13" t="s">
        <v>62</v>
      </c>
      <c r="M80" s="14"/>
      <c r="N80" s="15" t="s">
        <v>414</v>
      </c>
      <c r="O80" s="16"/>
      <c r="P80" s="14" t="s">
        <v>64</v>
      </c>
      <c r="Q80" s="17">
        <f t="shared" si="4"/>
        <v>6.9077610727345858E-3</v>
      </c>
      <c r="R80" s="11"/>
      <c r="S80" s="18">
        <f t="shared" si="5"/>
        <v>24.44</v>
      </c>
      <c r="T80" s="18">
        <f t="shared" si="6"/>
        <v>24.61</v>
      </c>
    </row>
    <row r="81" spans="1:20" ht="28.8" x14ac:dyDescent="0.3">
      <c r="A81" s="9" t="s">
        <v>415</v>
      </c>
      <c r="B81" s="10" t="s">
        <v>54</v>
      </c>
      <c r="C81" s="10" t="s">
        <v>55</v>
      </c>
      <c r="D81" s="10">
        <v>17</v>
      </c>
      <c r="E81" s="10" t="s">
        <v>98</v>
      </c>
      <c r="F81" s="11" t="s">
        <v>416</v>
      </c>
      <c r="G81" s="12" t="s">
        <v>417</v>
      </c>
      <c r="H81" s="11" t="s">
        <v>418</v>
      </c>
      <c r="I81" s="11" t="s">
        <v>60</v>
      </c>
      <c r="J81" s="10"/>
      <c r="K81" s="10" t="s">
        <v>61</v>
      </c>
      <c r="L81" s="13" t="s">
        <v>62</v>
      </c>
      <c r="M81" s="14"/>
      <c r="N81" s="15" t="s">
        <v>419</v>
      </c>
      <c r="O81" s="16"/>
      <c r="P81" s="14" t="s">
        <v>64</v>
      </c>
      <c r="Q81" s="17">
        <f t="shared" si="4"/>
        <v>1.1630123927550036E-2</v>
      </c>
      <c r="R81" s="11"/>
      <c r="S81" s="18">
        <f t="shared" si="5"/>
        <v>51.84</v>
      </c>
      <c r="T81" s="18">
        <f t="shared" si="6"/>
        <v>52.45</v>
      </c>
    </row>
    <row r="82" spans="1:20" ht="28.8" x14ac:dyDescent="0.3">
      <c r="A82" s="9" t="s">
        <v>420</v>
      </c>
      <c r="B82" s="10" t="s">
        <v>54</v>
      </c>
      <c r="C82" s="10" t="s">
        <v>55</v>
      </c>
      <c r="D82" s="10">
        <v>17</v>
      </c>
      <c r="E82" s="10" t="s">
        <v>103</v>
      </c>
      <c r="F82" s="11" t="s">
        <v>187</v>
      </c>
      <c r="G82" s="12" t="s">
        <v>421</v>
      </c>
      <c r="H82" s="11" t="s">
        <v>89</v>
      </c>
      <c r="I82" s="11" t="s">
        <v>60</v>
      </c>
      <c r="J82" s="10"/>
      <c r="K82" s="10" t="s">
        <v>61</v>
      </c>
      <c r="L82" s="13" t="s">
        <v>62</v>
      </c>
      <c r="M82" s="14"/>
      <c r="N82" s="15" t="s">
        <v>422</v>
      </c>
      <c r="O82" s="16"/>
      <c r="P82" s="14" t="s">
        <v>64</v>
      </c>
      <c r="Q82" s="17">
        <f t="shared" si="4"/>
        <v>1.3454075032341545E-2</v>
      </c>
      <c r="R82" s="11"/>
      <c r="S82" s="18">
        <f t="shared" si="5"/>
        <v>114.39</v>
      </c>
      <c r="T82" s="18">
        <f t="shared" si="6"/>
        <v>115.95</v>
      </c>
    </row>
    <row r="83" spans="1:20" ht="28.8" x14ac:dyDescent="0.3">
      <c r="A83" s="9" t="s">
        <v>423</v>
      </c>
      <c r="B83" s="10" t="s">
        <v>54</v>
      </c>
      <c r="C83" s="10" t="s">
        <v>55</v>
      </c>
      <c r="D83" s="10">
        <v>17</v>
      </c>
      <c r="E83" s="10" t="s">
        <v>109</v>
      </c>
      <c r="F83" s="11" t="s">
        <v>424</v>
      </c>
      <c r="G83" s="12" t="s">
        <v>425</v>
      </c>
      <c r="H83" s="11" t="s">
        <v>217</v>
      </c>
      <c r="I83" s="11" t="s">
        <v>157</v>
      </c>
      <c r="J83" s="10" t="s">
        <v>158</v>
      </c>
      <c r="K83" s="10" t="s">
        <v>61</v>
      </c>
      <c r="L83" s="13" t="s">
        <v>62</v>
      </c>
      <c r="M83" s="14"/>
      <c r="N83" s="15" t="s">
        <v>348</v>
      </c>
      <c r="O83" s="16"/>
      <c r="P83" s="14" t="s">
        <v>64</v>
      </c>
      <c r="Q83" s="17">
        <f t="shared" si="4"/>
        <v>2.7240143369175556E-2</v>
      </c>
      <c r="R83" s="11" t="s">
        <v>160</v>
      </c>
      <c r="S83" s="18">
        <f t="shared" si="5"/>
        <v>27.14</v>
      </c>
      <c r="T83" s="18">
        <f t="shared" si="6"/>
        <v>27.9</v>
      </c>
    </row>
    <row r="84" spans="1:20" ht="28.8" x14ac:dyDescent="0.3">
      <c r="A84" s="9" t="s">
        <v>426</v>
      </c>
      <c r="B84" s="10" t="s">
        <v>54</v>
      </c>
      <c r="C84" s="10" t="s">
        <v>55</v>
      </c>
      <c r="D84" s="10">
        <v>17</v>
      </c>
      <c r="E84" s="10" t="s">
        <v>115</v>
      </c>
      <c r="F84" s="11" t="s">
        <v>424</v>
      </c>
      <c r="G84" s="12" t="s">
        <v>427</v>
      </c>
      <c r="H84" s="11" t="s">
        <v>166</v>
      </c>
      <c r="I84" s="11" t="s">
        <v>157</v>
      </c>
      <c r="J84" s="10" t="s">
        <v>158</v>
      </c>
      <c r="K84" s="10" t="s">
        <v>61</v>
      </c>
      <c r="L84" s="13" t="s">
        <v>62</v>
      </c>
      <c r="M84" s="19" t="s">
        <v>121</v>
      </c>
      <c r="N84" s="20" t="s">
        <v>428</v>
      </c>
      <c r="O84" s="21"/>
      <c r="P84" s="19" t="s">
        <v>213</v>
      </c>
      <c r="Q84" s="17">
        <f t="shared" si="4"/>
        <v>1.250617080796454E-2</v>
      </c>
      <c r="R84" s="11" t="s">
        <v>429</v>
      </c>
      <c r="S84" s="18">
        <f t="shared" si="5"/>
        <v>60.01</v>
      </c>
      <c r="T84" s="18">
        <f t="shared" si="6"/>
        <v>60.77</v>
      </c>
    </row>
    <row r="85" spans="1:20" ht="28.8" x14ac:dyDescent="0.3">
      <c r="A85" s="9" t="s">
        <v>430</v>
      </c>
      <c r="B85" s="10" t="s">
        <v>54</v>
      </c>
      <c r="C85" s="10" t="s">
        <v>55</v>
      </c>
      <c r="D85" s="10">
        <v>17</v>
      </c>
      <c r="E85" s="10" t="s">
        <v>120</v>
      </c>
      <c r="F85" s="11" t="s">
        <v>431</v>
      </c>
      <c r="G85" s="12" t="s">
        <v>139</v>
      </c>
      <c r="H85" s="11" t="s">
        <v>206</v>
      </c>
      <c r="I85" s="11" t="s">
        <v>60</v>
      </c>
      <c r="J85" s="10"/>
      <c r="K85" s="10" t="s">
        <v>61</v>
      </c>
      <c r="L85" s="13" t="s">
        <v>62</v>
      </c>
      <c r="M85" s="14"/>
      <c r="N85" s="15" t="s">
        <v>432</v>
      </c>
      <c r="O85" s="16"/>
      <c r="P85" s="14" t="s">
        <v>64</v>
      </c>
      <c r="Q85" s="17">
        <f t="shared" si="4"/>
        <v>9.0915921556841833E-3</v>
      </c>
      <c r="R85" s="11"/>
      <c r="S85" s="18">
        <f t="shared" si="5"/>
        <v>131.88</v>
      </c>
      <c r="T85" s="18">
        <f t="shared" si="6"/>
        <v>133.09</v>
      </c>
    </row>
    <row r="86" spans="1:20" ht="28.8" x14ac:dyDescent="0.3">
      <c r="A86" s="9" t="s">
        <v>433</v>
      </c>
      <c r="B86" s="10" t="s">
        <v>54</v>
      </c>
      <c r="C86" s="10" t="s">
        <v>55</v>
      </c>
      <c r="D86" s="10">
        <v>17</v>
      </c>
      <c r="E86" s="10" t="s">
        <v>126</v>
      </c>
      <c r="F86" s="11" t="s">
        <v>361</v>
      </c>
      <c r="G86" s="12" t="s">
        <v>434</v>
      </c>
      <c r="H86" s="11" t="s">
        <v>435</v>
      </c>
      <c r="I86" s="11" t="s">
        <v>60</v>
      </c>
      <c r="J86" s="10"/>
      <c r="K86" s="10" t="s">
        <v>61</v>
      </c>
      <c r="L86" s="13" t="s">
        <v>62</v>
      </c>
      <c r="M86" s="14"/>
      <c r="N86" s="15" t="s">
        <v>436</v>
      </c>
      <c r="O86" s="16"/>
      <c r="P86" s="14" t="s">
        <v>64</v>
      </c>
      <c r="Q86" s="17">
        <f t="shared" si="4"/>
        <v>7.0598006644517512E-3</v>
      </c>
      <c r="R86" s="11"/>
      <c r="S86" s="18">
        <f t="shared" si="5"/>
        <v>23.91</v>
      </c>
      <c r="T86" s="18">
        <f t="shared" si="6"/>
        <v>24.08</v>
      </c>
    </row>
    <row r="87" spans="1:20" ht="28.8" x14ac:dyDescent="0.3">
      <c r="A87" s="9" t="s">
        <v>437</v>
      </c>
      <c r="B87" s="10" t="s">
        <v>54</v>
      </c>
      <c r="C87" s="10" t="s">
        <v>55</v>
      </c>
      <c r="D87" s="10">
        <v>17</v>
      </c>
      <c r="E87" s="10" t="s">
        <v>130</v>
      </c>
      <c r="F87" s="11" t="s">
        <v>324</v>
      </c>
      <c r="G87" s="12" t="s">
        <v>438</v>
      </c>
      <c r="H87" s="11" t="s">
        <v>439</v>
      </c>
      <c r="I87" s="11" t="s">
        <v>60</v>
      </c>
      <c r="J87" s="10"/>
      <c r="K87" s="10" t="s">
        <v>61</v>
      </c>
      <c r="L87" s="13" t="s">
        <v>62</v>
      </c>
      <c r="M87" s="14"/>
      <c r="N87" s="15" t="s">
        <v>440</v>
      </c>
      <c r="O87" s="16"/>
      <c r="P87" s="14" t="s">
        <v>64</v>
      </c>
      <c r="Q87" s="17">
        <f t="shared" si="4"/>
        <v>6.5876152832674839E-3</v>
      </c>
      <c r="R87" s="11"/>
      <c r="S87" s="18">
        <f t="shared" si="5"/>
        <v>52.78</v>
      </c>
      <c r="T87" s="18">
        <f t="shared" si="6"/>
        <v>53.13</v>
      </c>
    </row>
    <row r="88" spans="1:20" ht="28.8" x14ac:dyDescent="0.3">
      <c r="A88" s="9" t="s">
        <v>441</v>
      </c>
      <c r="B88" s="10" t="s">
        <v>54</v>
      </c>
      <c r="C88" s="10" t="s">
        <v>55</v>
      </c>
      <c r="D88" s="10">
        <v>17</v>
      </c>
      <c r="E88" s="10" t="s">
        <v>135</v>
      </c>
      <c r="F88" s="11" t="s">
        <v>324</v>
      </c>
      <c r="G88" s="12" t="s">
        <v>442</v>
      </c>
      <c r="H88" s="11" t="s">
        <v>443</v>
      </c>
      <c r="I88" s="11" t="s">
        <v>60</v>
      </c>
      <c r="J88" s="10"/>
      <c r="K88" s="10" t="s">
        <v>61</v>
      </c>
      <c r="L88" s="13" t="s">
        <v>62</v>
      </c>
      <c r="M88" s="14" t="s">
        <v>1749</v>
      </c>
      <c r="N88" s="15" t="s">
        <v>444</v>
      </c>
      <c r="O88" s="16"/>
      <c r="P88" s="14" t="s">
        <v>64</v>
      </c>
      <c r="Q88" s="17">
        <f t="shared" si="4"/>
        <v>3.6202531645569552E-2</v>
      </c>
      <c r="R88" s="11"/>
      <c r="S88" s="18">
        <f t="shared" si="5"/>
        <v>114.21000000000001</v>
      </c>
      <c r="T88" s="18">
        <f t="shared" si="6"/>
        <v>118.5</v>
      </c>
    </row>
    <row r="89" spans="1:20" ht="28.8" x14ac:dyDescent="0.3">
      <c r="A89" s="9" t="s">
        <v>445</v>
      </c>
      <c r="B89" s="10" t="s">
        <v>54</v>
      </c>
      <c r="C89" s="10" t="s">
        <v>55</v>
      </c>
      <c r="D89" s="10">
        <v>17</v>
      </c>
      <c r="E89" s="10" t="s">
        <v>141</v>
      </c>
      <c r="F89" s="11" t="s">
        <v>416</v>
      </c>
      <c r="G89" s="12" t="s">
        <v>446</v>
      </c>
      <c r="H89" s="11" t="s">
        <v>447</v>
      </c>
      <c r="I89" s="11" t="s">
        <v>60</v>
      </c>
      <c r="J89" s="10"/>
      <c r="K89" s="10" t="s">
        <v>61</v>
      </c>
      <c r="L89" s="13" t="s">
        <v>62</v>
      </c>
      <c r="M89" s="14"/>
      <c r="N89" s="15" t="s">
        <v>448</v>
      </c>
      <c r="O89" s="16"/>
      <c r="P89" s="14" t="s">
        <v>64</v>
      </c>
      <c r="Q89" s="17">
        <f t="shared" si="4"/>
        <v>1.3725844320028862E-2</v>
      </c>
      <c r="R89" s="11"/>
      <c r="S89" s="18">
        <f t="shared" si="5"/>
        <v>54.61</v>
      </c>
      <c r="T89" s="18">
        <f t="shared" si="6"/>
        <v>55.37</v>
      </c>
    </row>
    <row r="90" spans="1:20" ht="28.8" x14ac:dyDescent="0.3">
      <c r="A90" s="9" t="s">
        <v>449</v>
      </c>
      <c r="B90" s="10" t="s">
        <v>54</v>
      </c>
      <c r="C90" s="10" t="s">
        <v>55</v>
      </c>
      <c r="D90" s="10">
        <v>17</v>
      </c>
      <c r="E90" s="10" t="s">
        <v>146</v>
      </c>
      <c r="F90" s="11" t="s">
        <v>228</v>
      </c>
      <c r="G90" s="12" t="s">
        <v>450</v>
      </c>
      <c r="H90" s="11" t="s">
        <v>451</v>
      </c>
      <c r="I90" s="11" t="s">
        <v>60</v>
      </c>
      <c r="J90" s="10"/>
      <c r="K90" s="10" t="s">
        <v>61</v>
      </c>
      <c r="L90" s="13" t="s">
        <v>62</v>
      </c>
      <c r="M90" s="14"/>
      <c r="N90" s="15" t="s">
        <v>452</v>
      </c>
      <c r="O90" s="16"/>
      <c r="P90" s="14" t="s">
        <v>64</v>
      </c>
      <c r="Q90" s="17">
        <f t="shared" si="4"/>
        <v>1.5164279696713782E-3</v>
      </c>
      <c r="R90" s="11"/>
      <c r="S90" s="18">
        <f t="shared" si="5"/>
        <v>118.52000000000001</v>
      </c>
      <c r="T90" s="18">
        <f t="shared" si="6"/>
        <v>118.7</v>
      </c>
    </row>
    <row r="91" spans="1:20" ht="28.8" x14ac:dyDescent="0.3">
      <c r="A91" s="9" t="s">
        <v>453</v>
      </c>
      <c r="B91" s="10" t="s">
        <v>54</v>
      </c>
      <c r="C91" s="10" t="s">
        <v>55</v>
      </c>
      <c r="D91" s="10">
        <v>17</v>
      </c>
      <c r="E91" s="10" t="s">
        <v>150</v>
      </c>
      <c r="F91" s="11" t="s">
        <v>454</v>
      </c>
      <c r="G91" s="12" t="s">
        <v>455</v>
      </c>
      <c r="H91" s="11" t="s">
        <v>456</v>
      </c>
      <c r="I91" s="11" t="s">
        <v>60</v>
      </c>
      <c r="J91" s="10"/>
      <c r="K91" s="10" t="s">
        <v>61</v>
      </c>
      <c r="L91" s="13" t="s">
        <v>62</v>
      </c>
      <c r="M91" s="14"/>
      <c r="N91" s="15" t="s">
        <v>457</v>
      </c>
      <c r="O91" s="16"/>
      <c r="P91" s="14" t="s">
        <v>64</v>
      </c>
      <c r="Q91" s="17">
        <f t="shared" si="4"/>
        <v>1.3584319813700648E-2</v>
      </c>
      <c r="R91" s="11"/>
      <c r="S91" s="18">
        <f t="shared" si="5"/>
        <v>254.15</v>
      </c>
      <c r="T91" s="18">
        <f t="shared" si="6"/>
        <v>257.64999999999998</v>
      </c>
    </row>
    <row r="92" spans="1:20" ht="28.8" x14ac:dyDescent="0.3">
      <c r="A92" s="9" t="s">
        <v>458</v>
      </c>
      <c r="B92" s="10" t="s">
        <v>54</v>
      </c>
      <c r="C92" s="10" t="s">
        <v>55</v>
      </c>
      <c r="D92" s="10">
        <v>18</v>
      </c>
      <c r="E92" s="10" t="s">
        <v>56</v>
      </c>
      <c r="F92" s="11" t="s">
        <v>459</v>
      </c>
      <c r="G92" s="12" t="s">
        <v>460</v>
      </c>
      <c r="H92" s="11" t="s">
        <v>59</v>
      </c>
      <c r="I92" s="11" t="s">
        <v>60</v>
      </c>
      <c r="J92" s="10"/>
      <c r="K92" s="10" t="s">
        <v>61</v>
      </c>
      <c r="L92" s="13" t="s">
        <v>62</v>
      </c>
      <c r="M92" s="14"/>
      <c r="N92" s="15" t="s">
        <v>461</v>
      </c>
      <c r="O92" s="16"/>
      <c r="P92" s="14" t="s">
        <v>64</v>
      </c>
      <c r="Q92" s="17">
        <f t="shared" si="4"/>
        <v>4.9460431654676004E-3</v>
      </c>
      <c r="R92" s="11"/>
      <c r="S92" s="18">
        <f t="shared" si="5"/>
        <v>22.13</v>
      </c>
      <c r="T92" s="18">
        <f t="shared" si="6"/>
        <v>22.24</v>
      </c>
    </row>
    <row r="93" spans="1:20" ht="28.8" x14ac:dyDescent="0.3">
      <c r="A93" s="9" t="s">
        <v>462</v>
      </c>
      <c r="B93" s="10" t="s">
        <v>54</v>
      </c>
      <c r="C93" s="10" t="s">
        <v>55</v>
      </c>
      <c r="D93" s="10">
        <v>18</v>
      </c>
      <c r="E93" s="10" t="s">
        <v>66</v>
      </c>
      <c r="F93" s="11" t="s">
        <v>463</v>
      </c>
      <c r="G93" s="12" t="s">
        <v>464</v>
      </c>
      <c r="H93" s="11" t="s">
        <v>210</v>
      </c>
      <c r="I93" s="11" t="s">
        <v>157</v>
      </c>
      <c r="J93" s="10" t="s">
        <v>158</v>
      </c>
      <c r="K93" s="10" t="s">
        <v>61</v>
      </c>
      <c r="L93" s="13" t="s">
        <v>62</v>
      </c>
      <c r="M93" s="19" t="s">
        <v>310</v>
      </c>
      <c r="N93" s="20" t="s">
        <v>465</v>
      </c>
      <c r="O93" s="21"/>
      <c r="P93" s="19" t="s">
        <v>213</v>
      </c>
      <c r="Q93" s="17">
        <f t="shared" si="4"/>
        <v>9.0516354659534604E-3</v>
      </c>
      <c r="R93" s="11" t="s">
        <v>466</v>
      </c>
      <c r="S93" s="18">
        <f t="shared" si="5"/>
        <v>48.17</v>
      </c>
      <c r="T93" s="18">
        <f t="shared" si="6"/>
        <v>48.61</v>
      </c>
    </row>
    <row r="94" spans="1:20" ht="28.8" x14ac:dyDescent="0.3">
      <c r="A94" s="9" t="s">
        <v>467</v>
      </c>
      <c r="B94" s="10" t="s">
        <v>54</v>
      </c>
      <c r="C94" s="10" t="s">
        <v>55</v>
      </c>
      <c r="D94" s="10">
        <v>18</v>
      </c>
      <c r="E94" s="10" t="s">
        <v>70</v>
      </c>
      <c r="F94" s="11" t="s">
        <v>463</v>
      </c>
      <c r="G94" s="12" t="s">
        <v>468</v>
      </c>
      <c r="H94" s="11" t="s">
        <v>166</v>
      </c>
      <c r="I94" s="11" t="s">
        <v>157</v>
      </c>
      <c r="J94" s="10" t="s">
        <v>158</v>
      </c>
      <c r="K94" s="10" t="s">
        <v>61</v>
      </c>
      <c r="L94" s="13" t="s">
        <v>62</v>
      </c>
      <c r="M94" s="19" t="s">
        <v>469</v>
      </c>
      <c r="N94" s="20" t="s">
        <v>470</v>
      </c>
      <c r="O94" s="21"/>
      <c r="P94" s="19" t="s">
        <v>213</v>
      </c>
      <c r="Q94" s="17">
        <f t="shared" si="4"/>
        <v>1.1458626843242217E-2</v>
      </c>
      <c r="R94" s="11" t="s">
        <v>471</v>
      </c>
      <c r="S94" s="18">
        <f t="shared" si="5"/>
        <v>105.25</v>
      </c>
      <c r="T94" s="18">
        <f t="shared" si="6"/>
        <v>106.47</v>
      </c>
    </row>
    <row r="95" spans="1:20" ht="28.8" x14ac:dyDescent="0.3">
      <c r="A95" s="9" t="s">
        <v>472</v>
      </c>
      <c r="B95" s="10" t="s">
        <v>54</v>
      </c>
      <c r="C95" s="10" t="s">
        <v>55</v>
      </c>
      <c r="D95" s="10">
        <v>18</v>
      </c>
      <c r="E95" s="10" t="s">
        <v>75</v>
      </c>
      <c r="F95" s="11" t="s">
        <v>473</v>
      </c>
      <c r="G95" s="12" t="s">
        <v>474</v>
      </c>
      <c r="H95" s="11"/>
      <c r="I95" s="11" t="s">
        <v>60</v>
      </c>
      <c r="J95" s="10"/>
      <c r="K95" s="10" t="s">
        <v>61</v>
      </c>
      <c r="L95" s="13" t="s">
        <v>475</v>
      </c>
      <c r="M95" s="22"/>
      <c r="N95" s="23" t="s">
        <v>476</v>
      </c>
      <c r="O95" s="24"/>
      <c r="P95" s="22" t="s">
        <v>477</v>
      </c>
      <c r="Q95" s="17">
        <f t="shared" si="4"/>
        <v>1.307334367383123E-2</v>
      </c>
      <c r="R95" s="11" t="s">
        <v>478</v>
      </c>
      <c r="S95" s="18">
        <f t="shared" si="5"/>
        <v>222.7</v>
      </c>
      <c r="T95" s="18">
        <f t="shared" si="6"/>
        <v>225.65</v>
      </c>
    </row>
    <row r="96" spans="1:20" ht="28.8" x14ac:dyDescent="0.3">
      <c r="A96" s="9" t="s">
        <v>479</v>
      </c>
      <c r="B96" s="10" t="s">
        <v>54</v>
      </c>
      <c r="C96" s="10" t="s">
        <v>55</v>
      </c>
      <c r="D96" s="10">
        <v>18</v>
      </c>
      <c r="E96" s="10" t="s">
        <v>80</v>
      </c>
      <c r="F96" s="11" t="s">
        <v>398</v>
      </c>
      <c r="G96" s="12" t="s">
        <v>480</v>
      </c>
      <c r="H96" s="11" t="s">
        <v>481</v>
      </c>
      <c r="I96" s="11" t="s">
        <v>60</v>
      </c>
      <c r="J96" s="10"/>
      <c r="K96" s="10" t="s">
        <v>61</v>
      </c>
      <c r="L96" s="13" t="s">
        <v>62</v>
      </c>
      <c r="M96" s="14"/>
      <c r="N96" s="15" t="s">
        <v>482</v>
      </c>
      <c r="O96" s="16"/>
      <c r="P96" s="14" t="s">
        <v>64</v>
      </c>
      <c r="Q96" s="17">
        <f t="shared" si="4"/>
        <v>2.7691728064300106E-2</v>
      </c>
      <c r="R96" s="11"/>
      <c r="S96" s="18">
        <f t="shared" si="5"/>
        <v>464.53</v>
      </c>
      <c r="T96" s="18">
        <f t="shared" si="6"/>
        <v>477.76</v>
      </c>
    </row>
    <row r="97" spans="1:20" ht="28.8" x14ac:dyDescent="0.3">
      <c r="A97" s="9" t="s">
        <v>483</v>
      </c>
      <c r="B97" s="10" t="s">
        <v>54</v>
      </c>
      <c r="C97" s="10" t="s">
        <v>55</v>
      </c>
      <c r="D97" s="10">
        <v>18</v>
      </c>
      <c r="E97" s="10" t="s">
        <v>86</v>
      </c>
      <c r="F97" s="11" t="s">
        <v>473</v>
      </c>
      <c r="G97" s="12" t="s">
        <v>333</v>
      </c>
      <c r="H97" s="11"/>
      <c r="I97" s="11" t="s">
        <v>60</v>
      </c>
      <c r="J97" s="10"/>
      <c r="K97" s="10" t="s">
        <v>61</v>
      </c>
      <c r="L97" s="13" t="s">
        <v>475</v>
      </c>
      <c r="M97" s="22"/>
      <c r="N97" s="23" t="s">
        <v>484</v>
      </c>
      <c r="O97" s="24"/>
      <c r="P97" s="22" t="s">
        <v>477</v>
      </c>
      <c r="Q97" s="17">
        <f t="shared" si="4"/>
        <v>8.7995389662204691E-3</v>
      </c>
      <c r="R97" s="11" t="s">
        <v>478</v>
      </c>
      <c r="S97" s="18">
        <f t="shared" si="5"/>
        <v>894.38</v>
      </c>
      <c r="T97" s="18">
        <f t="shared" si="6"/>
        <v>902.32</v>
      </c>
    </row>
    <row r="98" spans="1:20" ht="28.8" x14ac:dyDescent="0.3">
      <c r="A98" s="9" t="s">
        <v>485</v>
      </c>
      <c r="B98" s="10" t="s">
        <v>54</v>
      </c>
      <c r="C98" s="10" t="s">
        <v>55</v>
      </c>
      <c r="D98" s="10">
        <v>18</v>
      </c>
      <c r="E98" s="10" t="s">
        <v>92</v>
      </c>
      <c r="F98" s="11" t="s">
        <v>486</v>
      </c>
      <c r="G98" s="12" t="s">
        <v>487</v>
      </c>
      <c r="H98" s="11" t="s">
        <v>117</v>
      </c>
      <c r="I98" s="11" t="s">
        <v>60</v>
      </c>
      <c r="J98" s="10"/>
      <c r="K98" s="10" t="s">
        <v>61</v>
      </c>
      <c r="L98" s="13" t="s">
        <v>62</v>
      </c>
      <c r="M98" s="14"/>
      <c r="N98" s="15" t="s">
        <v>488</v>
      </c>
      <c r="O98" s="16"/>
      <c r="P98" s="14" t="s">
        <v>64</v>
      </c>
      <c r="Q98" s="17">
        <f t="shared" ref="Q98:Q129" si="7">IF(OR(S98="",T98=""),"",(T98-S98)/T98)</f>
        <v>2.9244516653127637E-2</v>
      </c>
      <c r="R98" s="11"/>
      <c r="S98" s="18">
        <f t="shared" si="5"/>
        <v>23.9</v>
      </c>
      <c r="T98" s="18">
        <f t="shared" si="6"/>
        <v>24.62</v>
      </c>
    </row>
    <row r="99" spans="1:20" ht="28.8" x14ac:dyDescent="0.3">
      <c r="A99" s="9" t="s">
        <v>489</v>
      </c>
      <c r="B99" s="10" t="s">
        <v>54</v>
      </c>
      <c r="C99" s="10" t="s">
        <v>55</v>
      </c>
      <c r="D99" s="10">
        <v>18</v>
      </c>
      <c r="E99" s="10" t="s">
        <v>98</v>
      </c>
      <c r="F99" s="11" t="s">
        <v>486</v>
      </c>
      <c r="G99" s="12" t="s">
        <v>490</v>
      </c>
      <c r="H99" s="11" t="s">
        <v>491</v>
      </c>
      <c r="I99" s="11" t="s">
        <v>60</v>
      </c>
      <c r="J99" s="10"/>
      <c r="K99" s="10" t="s">
        <v>61</v>
      </c>
      <c r="L99" s="13" t="s">
        <v>62</v>
      </c>
      <c r="M99" s="14"/>
      <c r="N99" s="15" t="s">
        <v>492</v>
      </c>
      <c r="O99" s="16"/>
      <c r="P99" s="14" t="s">
        <v>64</v>
      </c>
      <c r="Q99" s="17">
        <f t="shared" si="7"/>
        <v>1.3001912045889097E-2</v>
      </c>
      <c r="R99" s="11"/>
      <c r="S99" s="18">
        <f t="shared" si="5"/>
        <v>51.62</v>
      </c>
      <c r="T99" s="18">
        <f t="shared" si="6"/>
        <v>52.3</v>
      </c>
    </row>
    <row r="100" spans="1:20" ht="28.8" x14ac:dyDescent="0.3">
      <c r="A100" s="9" t="s">
        <v>493</v>
      </c>
      <c r="B100" s="10" t="s">
        <v>54</v>
      </c>
      <c r="C100" s="10" t="s">
        <v>55</v>
      </c>
      <c r="D100" s="10">
        <v>18</v>
      </c>
      <c r="E100" s="10" t="s">
        <v>103</v>
      </c>
      <c r="F100" s="11" t="s">
        <v>494</v>
      </c>
      <c r="G100" s="12" t="s">
        <v>495</v>
      </c>
      <c r="H100" s="11" t="s">
        <v>112</v>
      </c>
      <c r="I100" s="11" t="s">
        <v>60</v>
      </c>
      <c r="J100" s="10"/>
      <c r="K100" s="10" t="s">
        <v>61</v>
      </c>
      <c r="L100" s="13" t="s">
        <v>62</v>
      </c>
      <c r="M100" s="14"/>
      <c r="N100" s="15" t="s">
        <v>496</v>
      </c>
      <c r="O100" s="16"/>
      <c r="P100" s="14" t="s">
        <v>64</v>
      </c>
      <c r="Q100" s="17">
        <f t="shared" si="7"/>
        <v>3.8244241634071948E-3</v>
      </c>
      <c r="R100" s="11"/>
      <c r="S100" s="18">
        <f t="shared" si="5"/>
        <v>114.61</v>
      </c>
      <c r="T100" s="18">
        <f t="shared" si="6"/>
        <v>115.05</v>
      </c>
    </row>
    <row r="101" spans="1:20" ht="28.8" x14ac:dyDescent="0.3">
      <c r="A101" s="9" t="s">
        <v>497</v>
      </c>
      <c r="B101" s="10" t="s">
        <v>54</v>
      </c>
      <c r="C101" s="10" t="s">
        <v>55</v>
      </c>
      <c r="D101" s="10">
        <v>18</v>
      </c>
      <c r="E101" s="10" t="s">
        <v>109</v>
      </c>
      <c r="F101" s="11" t="s">
        <v>196</v>
      </c>
      <c r="G101" s="12" t="s">
        <v>498</v>
      </c>
      <c r="H101" s="11" t="s">
        <v>499</v>
      </c>
      <c r="I101" s="11" t="s">
        <v>60</v>
      </c>
      <c r="J101" s="10"/>
      <c r="K101" s="10" t="s">
        <v>61</v>
      </c>
      <c r="L101" s="13" t="s">
        <v>62</v>
      </c>
      <c r="M101" s="14"/>
      <c r="N101" s="15" t="s">
        <v>500</v>
      </c>
      <c r="O101" s="16"/>
      <c r="P101" s="14" t="s">
        <v>64</v>
      </c>
      <c r="Q101" s="17">
        <f t="shared" si="7"/>
        <v>1.5647226173542007E-2</v>
      </c>
      <c r="R101" s="11"/>
      <c r="S101" s="18">
        <f t="shared" si="5"/>
        <v>27.68</v>
      </c>
      <c r="T101" s="18">
        <f t="shared" si="6"/>
        <v>28.12</v>
      </c>
    </row>
    <row r="102" spans="1:20" ht="28.8" x14ac:dyDescent="0.3">
      <c r="A102" s="9" t="s">
        <v>501</v>
      </c>
      <c r="B102" s="10" t="s">
        <v>54</v>
      </c>
      <c r="C102" s="10" t="s">
        <v>55</v>
      </c>
      <c r="D102" s="10">
        <v>18</v>
      </c>
      <c r="E102" s="10" t="s">
        <v>115</v>
      </c>
      <c r="F102" s="11" t="s">
        <v>196</v>
      </c>
      <c r="G102" s="12" t="s">
        <v>502</v>
      </c>
      <c r="H102" s="11" t="s">
        <v>503</v>
      </c>
      <c r="I102" s="11" t="s">
        <v>60</v>
      </c>
      <c r="J102" s="10"/>
      <c r="K102" s="10" t="s">
        <v>61</v>
      </c>
      <c r="L102" s="13" t="s">
        <v>62</v>
      </c>
      <c r="M102" s="14"/>
      <c r="N102" s="15" t="s">
        <v>504</v>
      </c>
      <c r="O102" s="16"/>
      <c r="P102" s="14" t="s">
        <v>64</v>
      </c>
      <c r="Q102" s="17">
        <f t="shared" si="7"/>
        <v>8.1980652565994423E-3</v>
      </c>
      <c r="R102" s="11"/>
      <c r="S102" s="18">
        <f t="shared" si="5"/>
        <v>60.49</v>
      </c>
      <c r="T102" s="18">
        <f t="shared" si="6"/>
        <v>60.99</v>
      </c>
    </row>
    <row r="103" spans="1:20" ht="28.8" x14ac:dyDescent="0.3">
      <c r="A103" s="9" t="s">
        <v>505</v>
      </c>
      <c r="B103" s="10" t="s">
        <v>54</v>
      </c>
      <c r="C103" s="10" t="s">
        <v>55</v>
      </c>
      <c r="D103" s="10">
        <v>18</v>
      </c>
      <c r="E103" s="10" t="s">
        <v>120</v>
      </c>
      <c r="F103" s="11" t="s">
        <v>506</v>
      </c>
      <c r="G103" s="12" t="s">
        <v>507</v>
      </c>
      <c r="H103" s="11" t="s">
        <v>508</v>
      </c>
      <c r="I103" s="11" t="s">
        <v>60</v>
      </c>
      <c r="J103" s="10"/>
      <c r="K103" s="10" t="s">
        <v>61</v>
      </c>
      <c r="L103" s="13" t="s">
        <v>62</v>
      </c>
      <c r="M103" s="14"/>
      <c r="N103" s="15" t="s">
        <v>509</v>
      </c>
      <c r="O103" s="16"/>
      <c r="P103" s="14" t="s">
        <v>64</v>
      </c>
      <c r="Q103" s="17">
        <f t="shared" si="7"/>
        <v>1.5245064410404933E-4</v>
      </c>
      <c r="R103" s="11"/>
      <c r="S103" s="18">
        <f t="shared" si="5"/>
        <v>131.16999999999999</v>
      </c>
      <c r="T103" s="18">
        <f t="shared" si="6"/>
        <v>131.19</v>
      </c>
    </row>
    <row r="104" spans="1:20" ht="28.8" x14ac:dyDescent="0.3">
      <c r="A104" s="9" t="s">
        <v>510</v>
      </c>
      <c r="B104" s="10" t="s">
        <v>54</v>
      </c>
      <c r="C104" s="10" t="s">
        <v>55</v>
      </c>
      <c r="D104" s="10">
        <v>18</v>
      </c>
      <c r="E104" s="10" t="s">
        <v>126</v>
      </c>
      <c r="F104" s="11" t="s">
        <v>416</v>
      </c>
      <c r="G104" s="12" t="s">
        <v>511</v>
      </c>
      <c r="H104" s="11" t="s">
        <v>512</v>
      </c>
      <c r="I104" s="11" t="s">
        <v>60</v>
      </c>
      <c r="J104" s="10"/>
      <c r="K104" s="10" t="s">
        <v>61</v>
      </c>
      <c r="L104" s="13" t="s">
        <v>62</v>
      </c>
      <c r="M104" s="14"/>
      <c r="N104" s="15" t="s">
        <v>513</v>
      </c>
      <c r="O104" s="16"/>
      <c r="P104" s="14" t="s">
        <v>64</v>
      </c>
      <c r="Q104" s="17">
        <f t="shared" si="7"/>
        <v>1.8899622007559819E-2</v>
      </c>
      <c r="R104" s="11"/>
      <c r="S104" s="18">
        <f t="shared" si="5"/>
        <v>23.36</v>
      </c>
      <c r="T104" s="18">
        <f t="shared" si="6"/>
        <v>23.81</v>
      </c>
    </row>
    <row r="105" spans="1:20" ht="28.8" x14ac:dyDescent="0.3">
      <c r="A105" s="9" t="s">
        <v>514</v>
      </c>
      <c r="B105" s="10" t="s">
        <v>54</v>
      </c>
      <c r="C105" s="10" t="s">
        <v>55</v>
      </c>
      <c r="D105" s="10">
        <v>18</v>
      </c>
      <c r="E105" s="10" t="s">
        <v>130</v>
      </c>
      <c r="F105" s="11" t="s">
        <v>515</v>
      </c>
      <c r="G105" s="12" t="s">
        <v>516</v>
      </c>
      <c r="H105" s="11" t="s">
        <v>517</v>
      </c>
      <c r="I105" s="11" t="s">
        <v>60</v>
      </c>
      <c r="J105" s="10"/>
      <c r="K105" s="10" t="s">
        <v>61</v>
      </c>
      <c r="L105" s="13" t="s">
        <v>62</v>
      </c>
      <c r="M105" s="14"/>
      <c r="N105" s="15" t="s">
        <v>518</v>
      </c>
      <c r="O105" s="16"/>
      <c r="P105" s="14" t="s">
        <v>64</v>
      </c>
      <c r="Q105" s="17">
        <f t="shared" si="7"/>
        <v>1.5458937198067303E-3</v>
      </c>
      <c r="R105" s="11"/>
      <c r="S105" s="18">
        <f t="shared" si="5"/>
        <v>51.67</v>
      </c>
      <c r="T105" s="18">
        <f t="shared" si="6"/>
        <v>51.75</v>
      </c>
    </row>
    <row r="106" spans="1:20" ht="28.8" x14ac:dyDescent="0.3">
      <c r="A106" s="9" t="s">
        <v>519</v>
      </c>
      <c r="B106" s="10" t="s">
        <v>54</v>
      </c>
      <c r="C106" s="10" t="s">
        <v>55</v>
      </c>
      <c r="D106" s="10">
        <v>18</v>
      </c>
      <c r="E106" s="10" t="s">
        <v>135</v>
      </c>
      <c r="F106" s="11" t="s">
        <v>473</v>
      </c>
      <c r="G106" s="12" t="s">
        <v>442</v>
      </c>
      <c r="H106" s="11"/>
      <c r="I106" s="11" t="s">
        <v>60</v>
      </c>
      <c r="J106" s="10"/>
      <c r="K106" s="10" t="s">
        <v>61</v>
      </c>
      <c r="L106" s="13" t="s">
        <v>475</v>
      </c>
      <c r="M106" s="22"/>
      <c r="N106" s="23" t="s">
        <v>520</v>
      </c>
      <c r="O106" s="24"/>
      <c r="P106" s="22" t="s">
        <v>477</v>
      </c>
      <c r="Q106" s="17">
        <f t="shared" si="7"/>
        <v>2.1588280647648266E-2</v>
      </c>
      <c r="R106" s="11" t="s">
        <v>478</v>
      </c>
      <c r="S106" s="18">
        <f t="shared" si="5"/>
        <v>114.21000000000001</v>
      </c>
      <c r="T106" s="18">
        <f t="shared" si="6"/>
        <v>116.72999999999999</v>
      </c>
    </row>
    <row r="107" spans="1:20" ht="28.8" x14ac:dyDescent="0.3">
      <c r="A107" s="9" t="s">
        <v>521</v>
      </c>
      <c r="B107" s="10" t="s">
        <v>54</v>
      </c>
      <c r="C107" s="10" t="s">
        <v>55</v>
      </c>
      <c r="D107" s="10">
        <v>18</v>
      </c>
      <c r="E107" s="10" t="s">
        <v>141</v>
      </c>
      <c r="F107" s="11" t="s">
        <v>416</v>
      </c>
      <c r="G107" s="12" t="s">
        <v>522</v>
      </c>
      <c r="H107" s="11" t="s">
        <v>523</v>
      </c>
      <c r="I107" s="11" t="s">
        <v>60</v>
      </c>
      <c r="J107" s="10"/>
      <c r="K107" s="10" t="s">
        <v>61</v>
      </c>
      <c r="L107" s="13" t="s">
        <v>62</v>
      </c>
      <c r="M107" s="14"/>
      <c r="N107" s="15" t="s">
        <v>524</v>
      </c>
      <c r="O107" s="16"/>
      <c r="P107" s="14" t="s">
        <v>64</v>
      </c>
      <c r="Q107" s="17">
        <f t="shared" si="7"/>
        <v>1.5440508628519426E-2</v>
      </c>
      <c r="R107" s="11"/>
      <c r="S107" s="18">
        <f t="shared" si="5"/>
        <v>54.2</v>
      </c>
      <c r="T107" s="18">
        <f t="shared" si="6"/>
        <v>55.05</v>
      </c>
    </row>
    <row r="108" spans="1:20" ht="28.8" x14ac:dyDescent="0.3">
      <c r="A108" s="9" t="s">
        <v>525</v>
      </c>
      <c r="B108" s="10" t="s">
        <v>54</v>
      </c>
      <c r="C108" s="10" t="s">
        <v>55</v>
      </c>
      <c r="D108" s="10">
        <v>18</v>
      </c>
      <c r="E108" s="10" t="s">
        <v>146</v>
      </c>
      <c r="F108" s="11" t="s">
        <v>416</v>
      </c>
      <c r="G108" s="12" t="s">
        <v>526</v>
      </c>
      <c r="H108" s="11" t="s">
        <v>512</v>
      </c>
      <c r="I108" s="11" t="s">
        <v>60</v>
      </c>
      <c r="J108" s="10"/>
      <c r="K108" s="10" t="s">
        <v>61</v>
      </c>
      <c r="L108" s="13" t="s">
        <v>62</v>
      </c>
      <c r="M108" s="14"/>
      <c r="N108" s="15" t="s">
        <v>527</v>
      </c>
      <c r="O108" s="16"/>
      <c r="P108" s="14" t="s">
        <v>64</v>
      </c>
      <c r="Q108" s="17">
        <f t="shared" si="7"/>
        <v>5.9367314053085558E-4</v>
      </c>
      <c r="R108" s="11"/>
      <c r="S108" s="18">
        <f t="shared" si="5"/>
        <v>117.84</v>
      </c>
      <c r="T108" s="18">
        <f t="shared" si="6"/>
        <v>117.91</v>
      </c>
    </row>
    <row r="109" spans="1:20" ht="28.8" x14ac:dyDescent="0.3">
      <c r="A109" s="9" t="s">
        <v>528</v>
      </c>
      <c r="B109" s="10" t="s">
        <v>54</v>
      </c>
      <c r="C109" s="10" t="s">
        <v>55</v>
      </c>
      <c r="D109" s="10">
        <v>18</v>
      </c>
      <c r="E109" s="10" t="s">
        <v>150</v>
      </c>
      <c r="F109" s="11" t="s">
        <v>494</v>
      </c>
      <c r="G109" s="12" t="s">
        <v>529</v>
      </c>
      <c r="H109" s="11" t="s">
        <v>530</v>
      </c>
      <c r="I109" s="11" t="s">
        <v>60</v>
      </c>
      <c r="J109" s="10"/>
      <c r="K109" s="10" t="s">
        <v>61</v>
      </c>
      <c r="L109" s="13" t="s">
        <v>62</v>
      </c>
      <c r="M109" s="14"/>
      <c r="N109" s="15" t="s">
        <v>531</v>
      </c>
      <c r="O109" s="16"/>
      <c r="P109" s="14" t="s">
        <v>64</v>
      </c>
      <c r="Q109" s="17">
        <f t="shared" si="7"/>
        <v>1.6671872559737663E-2</v>
      </c>
      <c r="R109" s="11"/>
      <c r="S109" s="18">
        <f t="shared" si="5"/>
        <v>251.85</v>
      </c>
      <c r="T109" s="18">
        <f t="shared" si="6"/>
        <v>256.12</v>
      </c>
    </row>
    <row r="110" spans="1:20" ht="28.8" x14ac:dyDescent="0.3">
      <c r="A110" s="9" t="s">
        <v>532</v>
      </c>
      <c r="B110" s="10" t="s">
        <v>54</v>
      </c>
      <c r="C110" s="10" t="s">
        <v>533</v>
      </c>
      <c r="D110" s="10">
        <v>13</v>
      </c>
      <c r="E110" s="10" t="s">
        <v>56</v>
      </c>
      <c r="F110" s="11" t="s">
        <v>534</v>
      </c>
      <c r="G110" s="12" t="s">
        <v>266</v>
      </c>
      <c r="H110" s="11" t="s">
        <v>358</v>
      </c>
      <c r="I110" s="11" t="s">
        <v>60</v>
      </c>
      <c r="J110" s="10"/>
      <c r="K110" s="10" t="s">
        <v>61</v>
      </c>
      <c r="L110" s="13" t="s">
        <v>62</v>
      </c>
      <c r="M110" s="14" t="s">
        <v>1752</v>
      </c>
      <c r="N110" s="15" t="s">
        <v>535</v>
      </c>
      <c r="O110" s="16"/>
      <c r="P110" s="14" t="s">
        <v>64</v>
      </c>
      <c r="Q110" s="17">
        <f t="shared" si="7"/>
        <v>3.1727828746177439E-2</v>
      </c>
      <c r="R110" s="11"/>
      <c r="S110" s="18">
        <f t="shared" si="5"/>
        <v>25.33</v>
      </c>
      <c r="T110" s="18">
        <f t="shared" si="6"/>
        <v>26.16</v>
      </c>
    </row>
    <row r="111" spans="1:20" ht="28.8" x14ac:dyDescent="0.3">
      <c r="A111" s="9" t="s">
        <v>536</v>
      </c>
      <c r="B111" s="10" t="s">
        <v>54</v>
      </c>
      <c r="C111" s="10" t="s">
        <v>533</v>
      </c>
      <c r="D111" s="10">
        <v>13</v>
      </c>
      <c r="E111" s="10" t="s">
        <v>66</v>
      </c>
      <c r="F111" s="11" t="s">
        <v>534</v>
      </c>
      <c r="G111" s="12" t="s">
        <v>537</v>
      </c>
      <c r="H111" s="11" t="s">
        <v>456</v>
      </c>
      <c r="I111" s="11" t="s">
        <v>60</v>
      </c>
      <c r="J111" s="10"/>
      <c r="K111" s="10" t="s">
        <v>61</v>
      </c>
      <c r="L111" s="13" t="s">
        <v>62</v>
      </c>
      <c r="M111" s="14"/>
      <c r="N111" s="15" t="s">
        <v>538</v>
      </c>
      <c r="O111" s="16"/>
      <c r="P111" s="14" t="s">
        <v>64</v>
      </c>
      <c r="Q111" s="17">
        <f t="shared" si="7"/>
        <v>1.7433751743375175E-2</v>
      </c>
      <c r="R111" s="11"/>
      <c r="S111" s="18">
        <f t="shared" si="5"/>
        <v>56.36</v>
      </c>
      <c r="T111" s="18">
        <f t="shared" si="6"/>
        <v>57.36</v>
      </c>
    </row>
    <row r="112" spans="1:20" ht="28.8" x14ac:dyDescent="0.3">
      <c r="A112" s="9" t="s">
        <v>539</v>
      </c>
      <c r="B112" s="10" t="s">
        <v>54</v>
      </c>
      <c r="C112" s="10" t="s">
        <v>533</v>
      </c>
      <c r="D112" s="10">
        <v>13</v>
      </c>
      <c r="E112" s="10" t="s">
        <v>70</v>
      </c>
      <c r="F112" s="11" t="s">
        <v>540</v>
      </c>
      <c r="G112" s="12" t="s">
        <v>541</v>
      </c>
      <c r="H112" s="11" t="s">
        <v>542</v>
      </c>
      <c r="I112" s="11" t="s">
        <v>60</v>
      </c>
      <c r="J112" s="10"/>
      <c r="K112" s="10" t="s">
        <v>61</v>
      </c>
      <c r="L112" s="13" t="s">
        <v>62</v>
      </c>
      <c r="M112" s="14"/>
      <c r="N112" s="15" t="s">
        <v>543</v>
      </c>
      <c r="O112" s="16"/>
      <c r="P112" s="14" t="s">
        <v>64</v>
      </c>
      <c r="Q112" s="17">
        <f t="shared" si="7"/>
        <v>1.6162420382165615E-2</v>
      </c>
      <c r="R112" s="11"/>
      <c r="S112" s="18">
        <f t="shared" si="5"/>
        <v>123.57</v>
      </c>
      <c r="T112" s="18">
        <f t="shared" si="6"/>
        <v>125.6</v>
      </c>
    </row>
    <row r="113" spans="1:20" ht="28.8" x14ac:dyDescent="0.3">
      <c r="A113" s="9" t="s">
        <v>544</v>
      </c>
      <c r="B113" s="10" t="s">
        <v>54</v>
      </c>
      <c r="C113" s="10" t="s">
        <v>533</v>
      </c>
      <c r="D113" s="10">
        <v>13</v>
      </c>
      <c r="E113" s="10" t="s">
        <v>75</v>
      </c>
      <c r="F113" s="11" t="s">
        <v>540</v>
      </c>
      <c r="G113" s="12" t="s">
        <v>545</v>
      </c>
      <c r="H113" s="11" t="s">
        <v>546</v>
      </c>
      <c r="I113" s="11" t="s">
        <v>60</v>
      </c>
      <c r="J113" s="10"/>
      <c r="K113" s="10" t="s">
        <v>61</v>
      </c>
      <c r="L113" s="13" t="s">
        <v>62</v>
      </c>
      <c r="M113" s="14"/>
      <c r="N113" s="15" t="s">
        <v>547</v>
      </c>
      <c r="O113" s="16"/>
      <c r="P113" s="14" t="s">
        <v>64</v>
      </c>
      <c r="Q113" s="17">
        <f t="shared" si="7"/>
        <v>3.3409263477600436E-3</v>
      </c>
      <c r="R113" s="11"/>
      <c r="S113" s="18">
        <f t="shared" si="5"/>
        <v>262.52</v>
      </c>
      <c r="T113" s="18">
        <f t="shared" si="6"/>
        <v>263.39999999999998</v>
      </c>
    </row>
    <row r="114" spans="1:20" ht="28.8" x14ac:dyDescent="0.3">
      <c r="A114" s="9" t="s">
        <v>548</v>
      </c>
      <c r="B114" s="10" t="s">
        <v>54</v>
      </c>
      <c r="C114" s="10" t="s">
        <v>533</v>
      </c>
      <c r="D114" s="10">
        <v>13</v>
      </c>
      <c r="E114" s="10" t="s">
        <v>80</v>
      </c>
      <c r="F114" s="11" t="s">
        <v>540</v>
      </c>
      <c r="G114" s="12" t="s">
        <v>549</v>
      </c>
      <c r="H114" s="11" t="s">
        <v>550</v>
      </c>
      <c r="I114" s="11" t="s">
        <v>60</v>
      </c>
      <c r="J114" s="10"/>
      <c r="K114" s="10" t="s">
        <v>61</v>
      </c>
      <c r="L114" s="13" t="s">
        <v>62</v>
      </c>
      <c r="M114" s="14"/>
      <c r="N114" s="15" t="s">
        <v>551</v>
      </c>
      <c r="O114" s="16"/>
      <c r="P114" s="14" t="s">
        <v>64</v>
      </c>
      <c r="Q114" s="17">
        <f t="shared" si="7"/>
        <v>1.0100452588585954E-2</v>
      </c>
      <c r="R114" s="11"/>
      <c r="S114" s="18">
        <f t="shared" si="5"/>
        <v>538.04999999999995</v>
      </c>
      <c r="T114" s="18">
        <f t="shared" si="6"/>
        <v>543.54</v>
      </c>
    </row>
    <row r="115" spans="1:20" ht="28.8" x14ac:dyDescent="0.3">
      <c r="A115" s="9" t="s">
        <v>552</v>
      </c>
      <c r="B115" s="10" t="s">
        <v>54</v>
      </c>
      <c r="C115" s="10" t="s">
        <v>533</v>
      </c>
      <c r="D115" s="10">
        <v>13</v>
      </c>
      <c r="E115" s="10" t="s">
        <v>86</v>
      </c>
      <c r="F115" s="11" t="s">
        <v>540</v>
      </c>
      <c r="G115" s="12" t="s">
        <v>553</v>
      </c>
      <c r="H115" s="11" t="s">
        <v>554</v>
      </c>
      <c r="I115" s="11" t="s">
        <v>60</v>
      </c>
      <c r="J115" s="10"/>
      <c r="K115" s="10" t="s">
        <v>61</v>
      </c>
      <c r="L115" s="13" t="s">
        <v>62</v>
      </c>
      <c r="M115" s="14"/>
      <c r="N115" s="15" t="s">
        <v>555</v>
      </c>
      <c r="O115" s="16"/>
      <c r="P115" s="14" t="s">
        <v>64</v>
      </c>
      <c r="Q115" s="17">
        <f t="shared" si="7"/>
        <v>6.2488601349600121E-3</v>
      </c>
      <c r="R115" s="11"/>
      <c r="S115" s="18">
        <f t="shared" si="5"/>
        <v>1035.28</v>
      </c>
      <c r="T115" s="18">
        <f t="shared" si="6"/>
        <v>1041.79</v>
      </c>
    </row>
    <row r="116" spans="1:20" ht="28.8" x14ac:dyDescent="0.3">
      <c r="A116" s="9" t="s">
        <v>556</v>
      </c>
      <c r="B116" s="10" t="s">
        <v>54</v>
      </c>
      <c r="C116" s="10" t="s">
        <v>533</v>
      </c>
      <c r="D116" s="10">
        <v>13</v>
      </c>
      <c r="E116" s="10" t="s">
        <v>92</v>
      </c>
      <c r="F116" s="11" t="s">
        <v>534</v>
      </c>
      <c r="G116" s="12" t="s">
        <v>557</v>
      </c>
      <c r="H116" s="11" t="s">
        <v>558</v>
      </c>
      <c r="I116" s="11" t="s">
        <v>60</v>
      </c>
      <c r="J116" s="10"/>
      <c r="K116" s="10" t="s">
        <v>61</v>
      </c>
      <c r="L116" s="13" t="s">
        <v>62</v>
      </c>
      <c r="M116" s="14"/>
      <c r="N116" s="15" t="s">
        <v>559</v>
      </c>
      <c r="O116" s="16"/>
      <c r="P116" s="14" t="s">
        <v>64</v>
      </c>
      <c r="Q116" s="17">
        <f t="shared" si="7"/>
        <v>1.9311797752809015E-2</v>
      </c>
      <c r="R116" s="11"/>
      <c r="S116" s="18">
        <f t="shared" si="5"/>
        <v>27.93</v>
      </c>
      <c r="T116" s="18">
        <f t="shared" si="6"/>
        <v>28.48</v>
      </c>
    </row>
    <row r="117" spans="1:20" ht="28.8" x14ac:dyDescent="0.3">
      <c r="A117" s="9" t="s">
        <v>560</v>
      </c>
      <c r="B117" s="10" t="s">
        <v>54</v>
      </c>
      <c r="C117" s="10" t="s">
        <v>533</v>
      </c>
      <c r="D117" s="10">
        <v>13</v>
      </c>
      <c r="E117" s="10" t="s">
        <v>98</v>
      </c>
      <c r="F117" s="11" t="s">
        <v>534</v>
      </c>
      <c r="G117" s="12" t="s">
        <v>561</v>
      </c>
      <c r="H117" s="11" t="s">
        <v>354</v>
      </c>
      <c r="I117" s="11" t="s">
        <v>60</v>
      </c>
      <c r="J117" s="10"/>
      <c r="K117" s="10" t="s">
        <v>61</v>
      </c>
      <c r="L117" s="13" t="s">
        <v>62</v>
      </c>
      <c r="M117" s="14" t="s">
        <v>583</v>
      </c>
      <c r="N117" s="15" t="s">
        <v>562</v>
      </c>
      <c r="O117" s="16"/>
      <c r="P117" s="14" t="s">
        <v>64</v>
      </c>
      <c r="Q117" s="17">
        <f t="shared" si="7"/>
        <v>3.6191088949654171E-2</v>
      </c>
      <c r="R117" s="11"/>
      <c r="S117" s="18">
        <f t="shared" si="5"/>
        <v>59.92</v>
      </c>
      <c r="T117" s="18">
        <f t="shared" si="6"/>
        <v>62.17</v>
      </c>
    </row>
    <row r="118" spans="1:20" ht="28.8" x14ac:dyDescent="0.3">
      <c r="A118" s="9" t="s">
        <v>563</v>
      </c>
      <c r="B118" s="10" t="s">
        <v>54</v>
      </c>
      <c r="C118" s="10" t="s">
        <v>533</v>
      </c>
      <c r="D118" s="10">
        <v>13</v>
      </c>
      <c r="E118" s="10" t="s">
        <v>103</v>
      </c>
      <c r="F118" s="11" t="s">
        <v>564</v>
      </c>
      <c r="G118" s="12" t="s">
        <v>565</v>
      </c>
      <c r="H118" s="11" t="s">
        <v>358</v>
      </c>
      <c r="I118" s="11" t="s">
        <v>60</v>
      </c>
      <c r="J118" s="10"/>
      <c r="K118" s="10" t="s">
        <v>61</v>
      </c>
      <c r="L118" s="13" t="s">
        <v>62</v>
      </c>
      <c r="M118" s="14"/>
      <c r="N118" s="15" t="s">
        <v>566</v>
      </c>
      <c r="O118" s="16"/>
      <c r="P118" s="14" t="s">
        <v>64</v>
      </c>
      <c r="Q118" s="17">
        <f t="shared" si="7"/>
        <v>1.7198110422202421E-2</v>
      </c>
      <c r="R118" s="11"/>
      <c r="S118" s="18">
        <f t="shared" si="5"/>
        <v>133.15</v>
      </c>
      <c r="T118" s="18">
        <f t="shared" si="6"/>
        <v>135.47999999999999</v>
      </c>
    </row>
    <row r="119" spans="1:20" ht="28.8" x14ac:dyDescent="0.3">
      <c r="A119" s="9" t="s">
        <v>567</v>
      </c>
      <c r="B119" s="10" t="s">
        <v>54</v>
      </c>
      <c r="C119" s="10" t="s">
        <v>533</v>
      </c>
      <c r="D119" s="10">
        <v>13</v>
      </c>
      <c r="E119" s="10" t="s">
        <v>109</v>
      </c>
      <c r="F119" s="11" t="s">
        <v>568</v>
      </c>
      <c r="G119" s="12" t="s">
        <v>569</v>
      </c>
      <c r="H119" s="11" t="s">
        <v>383</v>
      </c>
      <c r="I119" s="11" t="s">
        <v>60</v>
      </c>
      <c r="J119" s="10"/>
      <c r="K119" s="10" t="s">
        <v>61</v>
      </c>
      <c r="L119" s="13" t="s">
        <v>62</v>
      </c>
      <c r="M119" s="14"/>
      <c r="N119" s="15" t="s">
        <v>570</v>
      </c>
      <c r="O119" s="16"/>
      <c r="P119" s="14" t="s">
        <v>64</v>
      </c>
      <c r="Q119" s="17">
        <f t="shared" si="7"/>
        <v>5.4661402976009634E-3</v>
      </c>
      <c r="R119" s="11"/>
      <c r="S119" s="18">
        <f t="shared" si="5"/>
        <v>32.75</v>
      </c>
      <c r="T119" s="18">
        <f t="shared" si="6"/>
        <v>32.93</v>
      </c>
    </row>
    <row r="120" spans="1:20" ht="28.8" x14ac:dyDescent="0.3">
      <c r="A120" s="9" t="s">
        <v>571</v>
      </c>
      <c r="B120" s="10" t="s">
        <v>54</v>
      </c>
      <c r="C120" s="10" t="s">
        <v>533</v>
      </c>
      <c r="D120" s="10">
        <v>13</v>
      </c>
      <c r="E120" s="10" t="s">
        <v>115</v>
      </c>
      <c r="F120" s="11" t="s">
        <v>572</v>
      </c>
      <c r="G120" s="12" t="s">
        <v>573</v>
      </c>
      <c r="H120" s="11" t="s">
        <v>166</v>
      </c>
      <c r="I120" s="11" t="s">
        <v>157</v>
      </c>
      <c r="J120" s="10" t="s">
        <v>158</v>
      </c>
      <c r="K120" s="10" t="s">
        <v>61</v>
      </c>
      <c r="L120" s="13" t="s">
        <v>62</v>
      </c>
      <c r="M120" s="19" t="s">
        <v>574</v>
      </c>
      <c r="N120" s="20" t="s">
        <v>575</v>
      </c>
      <c r="O120" s="21"/>
      <c r="P120" s="19" t="s">
        <v>213</v>
      </c>
      <c r="Q120" s="17">
        <f t="shared" si="7"/>
        <v>5.0335570469798585E-3</v>
      </c>
      <c r="R120" s="11" t="s">
        <v>576</v>
      </c>
      <c r="S120" s="18">
        <f t="shared" si="5"/>
        <v>71.16</v>
      </c>
      <c r="T120" s="18">
        <f t="shared" si="6"/>
        <v>71.52</v>
      </c>
    </row>
    <row r="121" spans="1:20" ht="28.8" x14ac:dyDescent="0.3">
      <c r="A121" s="9" t="s">
        <v>577</v>
      </c>
      <c r="B121" s="10" t="s">
        <v>54</v>
      </c>
      <c r="C121" s="10" t="s">
        <v>533</v>
      </c>
      <c r="D121" s="10">
        <v>13</v>
      </c>
      <c r="E121" s="10" t="s">
        <v>120</v>
      </c>
      <c r="F121" s="11" t="s">
        <v>572</v>
      </c>
      <c r="G121" s="12" t="s">
        <v>578</v>
      </c>
      <c r="H121" s="11" t="s">
        <v>227</v>
      </c>
      <c r="I121" s="11" t="s">
        <v>157</v>
      </c>
      <c r="J121" s="10" t="s">
        <v>158</v>
      </c>
      <c r="K121" s="10" t="s">
        <v>61</v>
      </c>
      <c r="L121" s="13" t="s">
        <v>62</v>
      </c>
      <c r="M121" s="19" t="s">
        <v>579</v>
      </c>
      <c r="N121" s="20" t="s">
        <v>580</v>
      </c>
      <c r="O121" s="21"/>
      <c r="P121" s="19" t="s">
        <v>213</v>
      </c>
      <c r="Q121" s="17">
        <f t="shared" si="7"/>
        <v>2.6351925717648602E-2</v>
      </c>
      <c r="R121" s="11" t="s">
        <v>581</v>
      </c>
      <c r="S121" s="18">
        <f t="shared" si="5"/>
        <v>148.9</v>
      </c>
      <c r="T121" s="18">
        <f t="shared" si="6"/>
        <v>152.93</v>
      </c>
    </row>
    <row r="122" spans="1:20" ht="28.8" x14ac:dyDescent="0.3">
      <c r="A122" s="9" t="s">
        <v>582</v>
      </c>
      <c r="B122" s="10" t="s">
        <v>54</v>
      </c>
      <c r="C122" s="10" t="s">
        <v>533</v>
      </c>
      <c r="D122" s="10">
        <v>13</v>
      </c>
      <c r="E122" s="10" t="s">
        <v>126</v>
      </c>
      <c r="F122" s="11" t="s">
        <v>583</v>
      </c>
      <c r="G122" s="12" t="s">
        <v>584</v>
      </c>
      <c r="H122" s="11" t="s">
        <v>585</v>
      </c>
      <c r="I122" s="11" t="s">
        <v>60</v>
      </c>
      <c r="J122" s="10"/>
      <c r="K122" s="10" t="s">
        <v>61</v>
      </c>
      <c r="L122" s="13" t="s">
        <v>62</v>
      </c>
      <c r="M122" s="14"/>
      <c r="N122" s="15" t="s">
        <v>586</v>
      </c>
      <c r="O122" s="16"/>
      <c r="P122" s="14" t="s">
        <v>64</v>
      </c>
      <c r="Q122" s="17">
        <f t="shared" si="7"/>
        <v>1.6919280930560467E-2</v>
      </c>
      <c r="R122" s="11"/>
      <c r="S122" s="18">
        <f t="shared" si="5"/>
        <v>27.89</v>
      </c>
      <c r="T122" s="18">
        <f t="shared" si="6"/>
        <v>28.37</v>
      </c>
    </row>
    <row r="123" spans="1:20" ht="28.8" x14ac:dyDescent="0.3">
      <c r="A123" s="9" t="s">
        <v>587</v>
      </c>
      <c r="B123" s="10" t="s">
        <v>54</v>
      </c>
      <c r="C123" s="10" t="s">
        <v>533</v>
      </c>
      <c r="D123" s="10">
        <v>13</v>
      </c>
      <c r="E123" s="10" t="s">
        <v>130</v>
      </c>
      <c r="F123" s="11" t="s">
        <v>583</v>
      </c>
      <c r="G123" s="12" t="s">
        <v>588</v>
      </c>
      <c r="H123" s="11" t="s">
        <v>589</v>
      </c>
      <c r="I123" s="11" t="s">
        <v>60</v>
      </c>
      <c r="J123" s="10"/>
      <c r="K123" s="10" t="s">
        <v>61</v>
      </c>
      <c r="L123" s="13" t="s">
        <v>62</v>
      </c>
      <c r="M123" s="14"/>
      <c r="N123" s="15" t="s">
        <v>590</v>
      </c>
      <c r="O123" s="16"/>
      <c r="P123" s="14" t="s">
        <v>64</v>
      </c>
      <c r="Q123" s="17">
        <f t="shared" si="7"/>
        <v>1.4930114358322708E-2</v>
      </c>
      <c r="R123" s="11"/>
      <c r="S123" s="18">
        <f t="shared" si="5"/>
        <v>62.02</v>
      </c>
      <c r="T123" s="18">
        <f t="shared" si="6"/>
        <v>62.96</v>
      </c>
    </row>
    <row r="124" spans="1:20" ht="28.8" x14ac:dyDescent="0.3">
      <c r="A124" s="9" t="s">
        <v>591</v>
      </c>
      <c r="B124" s="10" t="s">
        <v>54</v>
      </c>
      <c r="C124" s="10" t="s">
        <v>533</v>
      </c>
      <c r="D124" s="10">
        <v>13</v>
      </c>
      <c r="E124" s="10" t="s">
        <v>135</v>
      </c>
      <c r="F124" s="11" t="s">
        <v>592</v>
      </c>
      <c r="G124" s="12" t="s">
        <v>593</v>
      </c>
      <c r="H124" s="11" t="s">
        <v>594</v>
      </c>
      <c r="I124" s="11" t="s">
        <v>60</v>
      </c>
      <c r="J124" s="10"/>
      <c r="K124" s="10" t="s">
        <v>61</v>
      </c>
      <c r="L124" s="13" t="s">
        <v>62</v>
      </c>
      <c r="M124" s="14"/>
      <c r="N124" s="15" t="s">
        <v>595</v>
      </c>
      <c r="O124" s="16"/>
      <c r="P124" s="14" t="s">
        <v>64</v>
      </c>
      <c r="Q124" s="17">
        <f t="shared" si="7"/>
        <v>3.4712178189180631E-3</v>
      </c>
      <c r="R124" s="11"/>
      <c r="S124" s="18">
        <f t="shared" si="5"/>
        <v>137.80000000000001</v>
      </c>
      <c r="T124" s="18">
        <f t="shared" si="6"/>
        <v>138.28</v>
      </c>
    </row>
    <row r="125" spans="1:20" ht="28.8" x14ac:dyDescent="0.3">
      <c r="A125" s="9" t="s">
        <v>596</v>
      </c>
      <c r="B125" s="10" t="s">
        <v>54</v>
      </c>
      <c r="C125" s="10" t="s">
        <v>533</v>
      </c>
      <c r="D125" s="10">
        <v>13</v>
      </c>
      <c r="E125" s="10" t="s">
        <v>141</v>
      </c>
      <c r="F125" s="11" t="s">
        <v>572</v>
      </c>
      <c r="G125" s="12" t="s">
        <v>597</v>
      </c>
      <c r="H125" s="11" t="s">
        <v>227</v>
      </c>
      <c r="I125" s="11" t="s">
        <v>157</v>
      </c>
      <c r="J125" s="10" t="s">
        <v>158</v>
      </c>
      <c r="K125" s="10" t="s">
        <v>61</v>
      </c>
      <c r="L125" s="13" t="s">
        <v>62</v>
      </c>
      <c r="M125" s="19" t="s">
        <v>583</v>
      </c>
      <c r="N125" s="20" t="s">
        <v>598</v>
      </c>
      <c r="O125" s="21"/>
      <c r="P125" s="19" t="s">
        <v>213</v>
      </c>
      <c r="Q125" s="17">
        <f t="shared" si="7"/>
        <v>5.6853103872158044E-3</v>
      </c>
      <c r="R125" s="11" t="s">
        <v>599</v>
      </c>
      <c r="S125" s="18">
        <f t="shared" si="5"/>
        <v>64.709999999999994</v>
      </c>
      <c r="T125" s="18">
        <f t="shared" si="6"/>
        <v>65.08</v>
      </c>
    </row>
    <row r="126" spans="1:20" ht="28.8" x14ac:dyDescent="0.3">
      <c r="A126" s="9" t="s">
        <v>600</v>
      </c>
      <c r="B126" s="10" t="s">
        <v>54</v>
      </c>
      <c r="C126" s="10" t="s">
        <v>533</v>
      </c>
      <c r="D126" s="10">
        <v>13</v>
      </c>
      <c r="E126" s="10" t="s">
        <v>146</v>
      </c>
      <c r="F126" s="11" t="s">
        <v>601</v>
      </c>
      <c r="G126" s="12" t="s">
        <v>602</v>
      </c>
      <c r="H126" s="11" t="s">
        <v>558</v>
      </c>
      <c r="I126" s="11" t="s">
        <v>60</v>
      </c>
      <c r="J126" s="10"/>
      <c r="K126" s="10" t="s">
        <v>61</v>
      </c>
      <c r="L126" s="13" t="s">
        <v>62</v>
      </c>
      <c r="M126" s="14"/>
      <c r="N126" s="15" t="s">
        <v>603</v>
      </c>
      <c r="O126" s="16"/>
      <c r="P126" s="14" t="s">
        <v>64</v>
      </c>
      <c r="Q126" s="17">
        <f t="shared" si="7"/>
        <v>5.1031256644694795E-3</v>
      </c>
      <c r="R126" s="11"/>
      <c r="S126" s="18">
        <f t="shared" si="5"/>
        <v>140.37</v>
      </c>
      <c r="T126" s="18">
        <f t="shared" si="6"/>
        <v>141.09</v>
      </c>
    </row>
    <row r="127" spans="1:20" ht="28.8" x14ac:dyDescent="0.3">
      <c r="A127" s="9" t="s">
        <v>604</v>
      </c>
      <c r="B127" s="10" t="s">
        <v>54</v>
      </c>
      <c r="C127" s="10" t="s">
        <v>533</v>
      </c>
      <c r="D127" s="10">
        <v>13</v>
      </c>
      <c r="E127" s="10" t="s">
        <v>150</v>
      </c>
      <c r="F127" s="11" t="s">
        <v>540</v>
      </c>
      <c r="G127" s="12" t="s">
        <v>605</v>
      </c>
      <c r="H127" s="11" t="s">
        <v>550</v>
      </c>
      <c r="I127" s="11" t="s">
        <v>60</v>
      </c>
      <c r="J127" s="10"/>
      <c r="K127" s="10" t="s">
        <v>61</v>
      </c>
      <c r="L127" s="13" t="s">
        <v>62</v>
      </c>
      <c r="M127" s="14"/>
      <c r="N127" s="15" t="s">
        <v>606</v>
      </c>
      <c r="O127" s="16"/>
      <c r="P127" s="14" t="s">
        <v>64</v>
      </c>
      <c r="Q127" s="17">
        <f t="shared" si="7"/>
        <v>9.762152370089653E-3</v>
      </c>
      <c r="R127" s="11"/>
      <c r="S127" s="18">
        <f t="shared" si="5"/>
        <v>295.18</v>
      </c>
      <c r="T127" s="18">
        <f t="shared" si="6"/>
        <v>298.09000000000003</v>
      </c>
    </row>
    <row r="128" spans="1:20" ht="28.8" x14ac:dyDescent="0.3">
      <c r="A128" s="9" t="s">
        <v>607</v>
      </c>
      <c r="B128" s="10" t="s">
        <v>54</v>
      </c>
      <c r="C128" s="10" t="s">
        <v>533</v>
      </c>
      <c r="D128" s="10">
        <v>14</v>
      </c>
      <c r="E128" s="10" t="s">
        <v>56</v>
      </c>
      <c r="F128" s="11" t="s">
        <v>534</v>
      </c>
      <c r="G128" s="12" t="s">
        <v>608</v>
      </c>
      <c r="H128" s="11" t="s">
        <v>609</v>
      </c>
      <c r="I128" s="11" t="s">
        <v>60</v>
      </c>
      <c r="J128" s="10"/>
      <c r="K128" s="10" t="s">
        <v>61</v>
      </c>
      <c r="L128" s="13" t="s">
        <v>62</v>
      </c>
      <c r="M128" s="14"/>
      <c r="N128" s="15" t="s">
        <v>610</v>
      </c>
      <c r="O128" s="16"/>
      <c r="P128" s="14" t="s">
        <v>64</v>
      </c>
      <c r="Q128" s="17">
        <f t="shared" si="7"/>
        <v>2.7152831652443865E-2</v>
      </c>
      <c r="R128" s="11"/>
      <c r="S128" s="18">
        <f t="shared" si="5"/>
        <v>25.08</v>
      </c>
      <c r="T128" s="18">
        <f t="shared" si="6"/>
        <v>25.78</v>
      </c>
    </row>
    <row r="129" spans="1:20" ht="28.8" x14ac:dyDescent="0.3">
      <c r="A129" s="9" t="s">
        <v>611</v>
      </c>
      <c r="B129" s="10" t="s">
        <v>54</v>
      </c>
      <c r="C129" s="10" t="s">
        <v>533</v>
      </c>
      <c r="D129" s="10">
        <v>14</v>
      </c>
      <c r="E129" s="10" t="s">
        <v>66</v>
      </c>
      <c r="F129" s="11" t="s">
        <v>612</v>
      </c>
      <c r="G129" s="12" t="s">
        <v>613</v>
      </c>
      <c r="H129" s="11" t="s">
        <v>614</v>
      </c>
      <c r="I129" s="11" t="s">
        <v>60</v>
      </c>
      <c r="J129" s="10"/>
      <c r="K129" s="10" t="s">
        <v>61</v>
      </c>
      <c r="L129" s="13" t="s">
        <v>62</v>
      </c>
      <c r="M129" s="14"/>
      <c r="N129" s="15" t="s">
        <v>615</v>
      </c>
      <c r="O129" s="16"/>
      <c r="P129" s="14" t="s">
        <v>64</v>
      </c>
      <c r="Q129" s="17">
        <f t="shared" si="7"/>
        <v>4.4603033006244425E-3</v>
      </c>
      <c r="R129" s="11"/>
      <c r="S129" s="18">
        <f t="shared" si="5"/>
        <v>55.8</v>
      </c>
      <c r="T129" s="18">
        <f t="shared" si="6"/>
        <v>56.05</v>
      </c>
    </row>
    <row r="130" spans="1:20" ht="28.8" x14ac:dyDescent="0.3">
      <c r="A130" s="9" t="s">
        <v>616</v>
      </c>
      <c r="B130" s="10" t="s">
        <v>54</v>
      </c>
      <c r="C130" s="10" t="s">
        <v>533</v>
      </c>
      <c r="D130" s="10">
        <v>14</v>
      </c>
      <c r="E130" s="10" t="s">
        <v>70</v>
      </c>
      <c r="F130" s="11" t="s">
        <v>617</v>
      </c>
      <c r="G130" s="12" t="s">
        <v>618</v>
      </c>
      <c r="H130" s="11" t="s">
        <v>619</v>
      </c>
      <c r="I130" s="11" t="s">
        <v>60</v>
      </c>
      <c r="J130" s="10"/>
      <c r="K130" s="10" t="s">
        <v>61</v>
      </c>
      <c r="L130" s="13" t="s">
        <v>62</v>
      </c>
      <c r="M130" s="14"/>
      <c r="N130" s="15" t="s">
        <v>620</v>
      </c>
      <c r="O130" s="16"/>
      <c r="P130" s="14" t="s">
        <v>64</v>
      </c>
      <c r="Q130" s="17">
        <f t="shared" ref="Q130:Q163" si="8">IF(OR(S130="",T130=""),"",(T130-S130)/T130)</f>
        <v>4.9180327868854324E-4</v>
      </c>
      <c r="R130" s="11"/>
      <c r="S130" s="18">
        <f t="shared" ref="S130:S193" si="9">IF(G130="","",IF(ISNUMBER(SEARCH(":",G130)),VALUE(LEFT(G130,SEARCH(":",G130)-1))*60+VALUE(MID(G130,SEARCH(":",G130)+1,99)),VALUE(G130)))</f>
        <v>121.94</v>
      </c>
      <c r="T130" s="18">
        <f t="shared" ref="T130:T193" si="10">IF(N130="","",IF(ISNUMBER(SEARCH(":",N130)),VALUE(LEFT(N130,SEARCH(":",N130)-1))*60+VALUE(MID(N130,SEARCH(":",N130)+1,99)),VALUE(N130)))</f>
        <v>122</v>
      </c>
    </row>
    <row r="131" spans="1:20" ht="28.8" x14ac:dyDescent="0.3">
      <c r="A131" s="9" t="s">
        <v>621</v>
      </c>
      <c r="B131" s="10" t="s">
        <v>54</v>
      </c>
      <c r="C131" s="10" t="s">
        <v>533</v>
      </c>
      <c r="D131" s="10">
        <v>14</v>
      </c>
      <c r="E131" s="10" t="s">
        <v>75</v>
      </c>
      <c r="F131" s="11" t="s">
        <v>540</v>
      </c>
      <c r="G131" s="12" t="s">
        <v>622</v>
      </c>
      <c r="H131" s="11" t="s">
        <v>623</v>
      </c>
      <c r="I131" s="11" t="s">
        <v>60</v>
      </c>
      <c r="J131" s="10"/>
      <c r="K131" s="10" t="s">
        <v>61</v>
      </c>
      <c r="L131" s="13" t="s">
        <v>62</v>
      </c>
      <c r="M131" s="14"/>
      <c r="N131" s="15" t="s">
        <v>624</v>
      </c>
      <c r="O131" s="16"/>
      <c r="P131" s="14" t="s">
        <v>64</v>
      </c>
      <c r="Q131" s="17">
        <f t="shared" si="8"/>
        <v>2.4277547184587854E-3</v>
      </c>
      <c r="R131" s="11"/>
      <c r="S131" s="18">
        <f t="shared" si="9"/>
        <v>254.76</v>
      </c>
      <c r="T131" s="18">
        <f t="shared" si="10"/>
        <v>255.38</v>
      </c>
    </row>
    <row r="132" spans="1:20" ht="28.8" x14ac:dyDescent="0.3">
      <c r="A132" s="9" t="s">
        <v>625</v>
      </c>
      <c r="B132" s="10" t="s">
        <v>54</v>
      </c>
      <c r="C132" s="10" t="s">
        <v>533</v>
      </c>
      <c r="D132" s="10">
        <v>14</v>
      </c>
      <c r="E132" s="10" t="s">
        <v>80</v>
      </c>
      <c r="F132" s="11" t="s">
        <v>626</v>
      </c>
      <c r="G132" s="12" t="s">
        <v>627</v>
      </c>
      <c r="H132" s="11" t="s">
        <v>628</v>
      </c>
      <c r="I132" s="11" t="s">
        <v>60</v>
      </c>
      <c r="J132" s="10"/>
      <c r="K132" s="10" t="s">
        <v>61</v>
      </c>
      <c r="L132" s="13" t="s">
        <v>62</v>
      </c>
      <c r="M132" s="14"/>
      <c r="N132" s="15" t="s">
        <v>629</v>
      </c>
      <c r="O132" s="16"/>
      <c r="P132" s="14" t="s">
        <v>64</v>
      </c>
      <c r="Q132" s="17">
        <f t="shared" si="8"/>
        <v>1.5821956237142391E-2</v>
      </c>
      <c r="R132" s="11"/>
      <c r="S132" s="18">
        <f t="shared" si="9"/>
        <v>526.24</v>
      </c>
      <c r="T132" s="18">
        <f t="shared" si="10"/>
        <v>534.70000000000005</v>
      </c>
    </row>
    <row r="133" spans="1:20" ht="28.8" x14ac:dyDescent="0.3">
      <c r="A133" s="9" t="s">
        <v>630</v>
      </c>
      <c r="B133" s="10" t="s">
        <v>54</v>
      </c>
      <c r="C133" s="10" t="s">
        <v>533</v>
      </c>
      <c r="D133" s="10">
        <v>14</v>
      </c>
      <c r="E133" s="10" t="s">
        <v>86</v>
      </c>
      <c r="F133" s="11" t="s">
        <v>631</v>
      </c>
      <c r="G133" s="12" t="s">
        <v>632</v>
      </c>
      <c r="H133" s="11" t="s">
        <v>633</v>
      </c>
      <c r="I133" s="11" t="s">
        <v>60</v>
      </c>
      <c r="J133" s="10"/>
      <c r="K133" s="10" t="s">
        <v>61</v>
      </c>
      <c r="L133" s="13" t="s">
        <v>62</v>
      </c>
      <c r="M133" s="14"/>
      <c r="N133" s="15" t="s">
        <v>634</v>
      </c>
      <c r="O133" s="16"/>
      <c r="P133" s="14" t="s">
        <v>64</v>
      </c>
      <c r="Q133" s="17">
        <f t="shared" si="8"/>
        <v>2.7723465725040699E-3</v>
      </c>
      <c r="R133" s="11"/>
      <c r="S133" s="18">
        <f t="shared" si="9"/>
        <v>1025.1600000000001</v>
      </c>
      <c r="T133" s="18">
        <f t="shared" si="10"/>
        <v>1028.01</v>
      </c>
    </row>
    <row r="134" spans="1:20" ht="28.8" x14ac:dyDescent="0.3">
      <c r="A134" s="9" t="s">
        <v>635</v>
      </c>
      <c r="B134" s="10" t="s">
        <v>54</v>
      </c>
      <c r="C134" s="10" t="s">
        <v>533</v>
      </c>
      <c r="D134" s="10">
        <v>14</v>
      </c>
      <c r="E134" s="10" t="s">
        <v>92</v>
      </c>
      <c r="F134" s="11" t="s">
        <v>534</v>
      </c>
      <c r="G134" s="12" t="s">
        <v>636</v>
      </c>
      <c r="H134" s="11" t="s">
        <v>637</v>
      </c>
      <c r="I134" s="11" t="s">
        <v>60</v>
      </c>
      <c r="J134" s="10"/>
      <c r="K134" s="10" t="s">
        <v>61</v>
      </c>
      <c r="L134" s="13" t="s">
        <v>62</v>
      </c>
      <c r="M134" s="14"/>
      <c r="N134" s="15" t="s">
        <v>638</v>
      </c>
      <c r="O134" s="16"/>
      <c r="P134" s="14" t="s">
        <v>64</v>
      </c>
      <c r="Q134" s="17">
        <f t="shared" si="8"/>
        <v>5.3380782918150222E-3</v>
      </c>
      <c r="R134" s="11"/>
      <c r="S134" s="18">
        <f t="shared" si="9"/>
        <v>27.95</v>
      </c>
      <c r="T134" s="18">
        <f t="shared" si="10"/>
        <v>28.1</v>
      </c>
    </row>
    <row r="135" spans="1:20" ht="28.8" x14ac:dyDescent="0.3">
      <c r="A135" s="9" t="s">
        <v>639</v>
      </c>
      <c r="B135" s="10" t="s">
        <v>54</v>
      </c>
      <c r="C135" s="10" t="s">
        <v>533</v>
      </c>
      <c r="D135" s="10">
        <v>14</v>
      </c>
      <c r="E135" s="10" t="s">
        <v>98</v>
      </c>
      <c r="F135" s="11" t="s">
        <v>534</v>
      </c>
      <c r="G135" s="12" t="s">
        <v>640</v>
      </c>
      <c r="H135" s="11" t="s">
        <v>641</v>
      </c>
      <c r="I135" s="11" t="s">
        <v>60</v>
      </c>
      <c r="J135" s="10"/>
      <c r="K135" s="10" t="s">
        <v>61</v>
      </c>
      <c r="L135" s="13" t="s">
        <v>62</v>
      </c>
      <c r="M135" s="14"/>
      <c r="N135" s="15" t="s">
        <v>642</v>
      </c>
      <c r="O135" s="16"/>
      <c r="P135" s="14" t="s">
        <v>64</v>
      </c>
      <c r="Q135" s="17">
        <f t="shared" si="8"/>
        <v>9.781167108753373E-3</v>
      </c>
      <c r="R135" s="11"/>
      <c r="S135" s="18">
        <f t="shared" si="9"/>
        <v>59.73</v>
      </c>
      <c r="T135" s="18">
        <f t="shared" si="10"/>
        <v>60.32</v>
      </c>
    </row>
    <row r="136" spans="1:20" ht="28.8" x14ac:dyDescent="0.3">
      <c r="A136" s="9" t="s">
        <v>643</v>
      </c>
      <c r="B136" s="10" t="s">
        <v>54</v>
      </c>
      <c r="C136" s="10" t="s">
        <v>533</v>
      </c>
      <c r="D136" s="10">
        <v>14</v>
      </c>
      <c r="E136" s="10" t="s">
        <v>103</v>
      </c>
      <c r="F136" s="11" t="s">
        <v>564</v>
      </c>
      <c r="G136" s="12" t="s">
        <v>644</v>
      </c>
      <c r="H136" s="11" t="s">
        <v>645</v>
      </c>
      <c r="I136" s="11" t="s">
        <v>60</v>
      </c>
      <c r="J136" s="10"/>
      <c r="K136" s="10" t="s">
        <v>61</v>
      </c>
      <c r="L136" s="13" t="s">
        <v>62</v>
      </c>
      <c r="M136" s="14"/>
      <c r="N136" s="15" t="s">
        <v>646</v>
      </c>
      <c r="O136" s="16"/>
      <c r="P136" s="14" t="s">
        <v>64</v>
      </c>
      <c r="Q136" s="17">
        <f t="shared" si="8"/>
        <v>2.5252525252525339E-2</v>
      </c>
      <c r="R136" s="11"/>
      <c r="S136" s="18">
        <f t="shared" si="9"/>
        <v>127.38</v>
      </c>
      <c r="T136" s="18">
        <f t="shared" si="10"/>
        <v>130.68</v>
      </c>
    </row>
    <row r="137" spans="1:20" ht="28.8" x14ac:dyDescent="0.3">
      <c r="A137" s="9" t="s">
        <v>647</v>
      </c>
      <c r="B137" s="10" t="s">
        <v>54</v>
      </c>
      <c r="C137" s="10" t="s">
        <v>533</v>
      </c>
      <c r="D137" s="10">
        <v>14</v>
      </c>
      <c r="E137" s="10" t="s">
        <v>109</v>
      </c>
      <c r="F137" s="11" t="s">
        <v>574</v>
      </c>
      <c r="G137" s="12" t="s">
        <v>648</v>
      </c>
      <c r="H137" s="11" t="s">
        <v>649</v>
      </c>
      <c r="I137" s="11" t="s">
        <v>60</v>
      </c>
      <c r="J137" s="10"/>
      <c r="K137" s="10" t="s">
        <v>61</v>
      </c>
      <c r="L137" s="13" t="s">
        <v>62</v>
      </c>
      <c r="M137" s="14"/>
      <c r="N137" s="15" t="s">
        <v>650</v>
      </c>
      <c r="O137" s="16"/>
      <c r="P137" s="14" t="s">
        <v>64</v>
      </c>
      <c r="Q137" s="17">
        <f t="shared" si="8"/>
        <v>5.8859975216851834E-3</v>
      </c>
      <c r="R137" s="11"/>
      <c r="S137" s="18">
        <f t="shared" si="9"/>
        <v>32.090000000000003</v>
      </c>
      <c r="T137" s="18">
        <f t="shared" si="10"/>
        <v>32.28</v>
      </c>
    </row>
    <row r="138" spans="1:20" ht="28.8" x14ac:dyDescent="0.3">
      <c r="A138" s="9" t="s">
        <v>651</v>
      </c>
      <c r="B138" s="10" t="s">
        <v>54</v>
      </c>
      <c r="C138" s="10" t="s">
        <v>533</v>
      </c>
      <c r="D138" s="10">
        <v>14</v>
      </c>
      <c r="E138" s="10" t="s">
        <v>115</v>
      </c>
      <c r="F138" s="11" t="s">
        <v>574</v>
      </c>
      <c r="G138" s="12" t="s">
        <v>652</v>
      </c>
      <c r="H138" s="11" t="s">
        <v>653</v>
      </c>
      <c r="I138" s="11" t="s">
        <v>60</v>
      </c>
      <c r="J138" s="10"/>
      <c r="K138" s="10" t="s">
        <v>61</v>
      </c>
      <c r="L138" s="13" t="s">
        <v>62</v>
      </c>
      <c r="M138" s="14"/>
      <c r="N138" s="15" t="s">
        <v>654</v>
      </c>
      <c r="O138" s="16"/>
      <c r="P138" s="14" t="s">
        <v>64</v>
      </c>
      <c r="Q138" s="17">
        <f t="shared" si="8"/>
        <v>4.2692471894122267E-3</v>
      </c>
      <c r="R138" s="11"/>
      <c r="S138" s="18">
        <f t="shared" si="9"/>
        <v>69.97</v>
      </c>
      <c r="T138" s="18">
        <f t="shared" si="10"/>
        <v>70.27</v>
      </c>
    </row>
    <row r="139" spans="1:20" ht="28.8" x14ac:dyDescent="0.3">
      <c r="A139" s="9" t="s">
        <v>655</v>
      </c>
      <c r="B139" s="10" t="s">
        <v>54</v>
      </c>
      <c r="C139" s="10" t="s">
        <v>533</v>
      </c>
      <c r="D139" s="10">
        <v>14</v>
      </c>
      <c r="E139" s="10" t="s">
        <v>120</v>
      </c>
      <c r="F139" s="11" t="s">
        <v>656</v>
      </c>
      <c r="G139" s="12" t="s">
        <v>657</v>
      </c>
      <c r="H139" s="11" t="s">
        <v>227</v>
      </c>
      <c r="I139" s="11" t="s">
        <v>157</v>
      </c>
      <c r="J139" s="10" t="s">
        <v>158</v>
      </c>
      <c r="K139" s="10" t="s">
        <v>61</v>
      </c>
      <c r="L139" s="13" t="s">
        <v>62</v>
      </c>
      <c r="M139" s="19" t="s">
        <v>658</v>
      </c>
      <c r="N139" s="20" t="s">
        <v>659</v>
      </c>
      <c r="O139" s="21"/>
      <c r="P139" s="19" t="s">
        <v>213</v>
      </c>
      <c r="Q139" s="17">
        <f t="shared" si="8"/>
        <v>8.0026675558522546E-4</v>
      </c>
      <c r="R139" s="11" t="s">
        <v>660</v>
      </c>
      <c r="S139" s="18">
        <f t="shared" si="9"/>
        <v>149.82999999999998</v>
      </c>
      <c r="T139" s="18">
        <f t="shared" si="10"/>
        <v>149.94999999999999</v>
      </c>
    </row>
    <row r="140" spans="1:20" ht="28.8" x14ac:dyDescent="0.3">
      <c r="A140" s="9" t="s">
        <v>661</v>
      </c>
      <c r="B140" s="10" t="s">
        <v>54</v>
      </c>
      <c r="C140" s="10" t="s">
        <v>533</v>
      </c>
      <c r="D140" s="10">
        <v>14</v>
      </c>
      <c r="E140" s="10" t="s">
        <v>126</v>
      </c>
      <c r="F140" s="11" t="s">
        <v>583</v>
      </c>
      <c r="G140" s="12" t="s">
        <v>662</v>
      </c>
      <c r="H140" s="11" t="s">
        <v>530</v>
      </c>
      <c r="I140" s="11" t="s">
        <v>60</v>
      </c>
      <c r="J140" s="10"/>
      <c r="K140" s="10" t="s">
        <v>61</v>
      </c>
      <c r="L140" s="13" t="s">
        <v>62</v>
      </c>
      <c r="M140" s="14"/>
      <c r="N140" s="15" t="s">
        <v>663</v>
      </c>
      <c r="O140" s="16"/>
      <c r="P140" s="14" t="s">
        <v>64</v>
      </c>
      <c r="Q140" s="17">
        <f t="shared" si="8"/>
        <v>5.7950018109380712E-3</v>
      </c>
      <c r="R140" s="11"/>
      <c r="S140" s="18">
        <f t="shared" si="9"/>
        <v>27.45</v>
      </c>
      <c r="T140" s="18">
        <f t="shared" si="10"/>
        <v>27.61</v>
      </c>
    </row>
    <row r="141" spans="1:20" ht="28.8" x14ac:dyDescent="0.3">
      <c r="A141" s="9" t="s">
        <v>664</v>
      </c>
      <c r="B141" s="10" t="s">
        <v>54</v>
      </c>
      <c r="C141" s="10" t="s">
        <v>533</v>
      </c>
      <c r="D141" s="10">
        <v>14</v>
      </c>
      <c r="E141" s="10" t="s">
        <v>130</v>
      </c>
      <c r="F141" s="11" t="s">
        <v>579</v>
      </c>
      <c r="G141" s="12" t="s">
        <v>665</v>
      </c>
      <c r="H141" s="11" t="s">
        <v>550</v>
      </c>
      <c r="I141" s="11" t="s">
        <v>60</v>
      </c>
      <c r="J141" s="10"/>
      <c r="K141" s="10" t="s">
        <v>61</v>
      </c>
      <c r="L141" s="13" t="s">
        <v>62</v>
      </c>
      <c r="M141" s="14"/>
      <c r="N141" s="15" t="s">
        <v>666</v>
      </c>
      <c r="O141" s="16"/>
      <c r="P141" s="14" t="s">
        <v>64</v>
      </c>
      <c r="Q141" s="17">
        <f t="shared" si="8"/>
        <v>4.2525351651946028E-3</v>
      </c>
      <c r="R141" s="11"/>
      <c r="S141" s="18">
        <f t="shared" si="9"/>
        <v>60.88</v>
      </c>
      <c r="T141" s="18">
        <f t="shared" si="10"/>
        <v>61.14</v>
      </c>
    </row>
    <row r="142" spans="1:20" ht="28.8" x14ac:dyDescent="0.3">
      <c r="A142" s="9" t="s">
        <v>667</v>
      </c>
      <c r="B142" s="10" t="s">
        <v>54</v>
      </c>
      <c r="C142" s="10" t="s">
        <v>533</v>
      </c>
      <c r="D142" s="10">
        <v>14</v>
      </c>
      <c r="E142" s="10" t="s">
        <v>135</v>
      </c>
      <c r="F142" s="11" t="s">
        <v>668</v>
      </c>
      <c r="G142" s="12" t="s">
        <v>669</v>
      </c>
      <c r="H142" s="11" t="s">
        <v>670</v>
      </c>
      <c r="I142" s="11" t="s">
        <v>60</v>
      </c>
      <c r="J142" s="10"/>
      <c r="K142" s="10" t="s">
        <v>61</v>
      </c>
      <c r="L142" s="13" t="s">
        <v>62</v>
      </c>
      <c r="M142" s="14"/>
      <c r="N142" s="15" t="s">
        <v>671</v>
      </c>
      <c r="O142" s="16"/>
      <c r="P142" s="14" t="s">
        <v>64</v>
      </c>
      <c r="Q142" s="17">
        <f t="shared" si="8"/>
        <v>2.6369762672136948E-3</v>
      </c>
      <c r="R142" s="11"/>
      <c r="S142" s="18">
        <f t="shared" si="9"/>
        <v>136.16</v>
      </c>
      <c r="T142" s="18">
        <f t="shared" si="10"/>
        <v>136.52000000000001</v>
      </c>
    </row>
    <row r="143" spans="1:20" ht="28.8" x14ac:dyDescent="0.3">
      <c r="A143" s="9" t="s">
        <v>672</v>
      </c>
      <c r="B143" s="10" t="s">
        <v>54</v>
      </c>
      <c r="C143" s="10" t="s">
        <v>533</v>
      </c>
      <c r="D143" s="10">
        <v>14</v>
      </c>
      <c r="E143" s="10" t="s">
        <v>141</v>
      </c>
      <c r="F143" s="11" t="s">
        <v>534</v>
      </c>
      <c r="G143" s="12" t="s">
        <v>673</v>
      </c>
      <c r="H143" s="11" t="s">
        <v>674</v>
      </c>
      <c r="I143" s="11" t="s">
        <v>60</v>
      </c>
      <c r="J143" s="10"/>
      <c r="K143" s="10" t="s">
        <v>61</v>
      </c>
      <c r="L143" s="13" t="s">
        <v>62</v>
      </c>
      <c r="M143" s="14"/>
      <c r="N143" s="15" t="s">
        <v>675</v>
      </c>
      <c r="O143" s="16"/>
      <c r="P143" s="14" t="s">
        <v>64</v>
      </c>
      <c r="Q143" s="17">
        <f t="shared" si="8"/>
        <v>7.8357624196834352E-3</v>
      </c>
      <c r="R143" s="11"/>
      <c r="S143" s="18">
        <f t="shared" si="9"/>
        <v>63.31</v>
      </c>
      <c r="T143" s="18">
        <f t="shared" si="10"/>
        <v>63.81</v>
      </c>
    </row>
    <row r="144" spans="1:20" ht="28.8" x14ac:dyDescent="0.3">
      <c r="A144" s="9" t="s">
        <v>676</v>
      </c>
      <c r="B144" s="10" t="s">
        <v>54</v>
      </c>
      <c r="C144" s="10" t="s">
        <v>533</v>
      </c>
      <c r="D144" s="10">
        <v>14</v>
      </c>
      <c r="E144" s="10" t="s">
        <v>146</v>
      </c>
      <c r="F144" s="11" t="s">
        <v>579</v>
      </c>
      <c r="G144" s="12" t="s">
        <v>677</v>
      </c>
      <c r="H144" s="11" t="s">
        <v>546</v>
      </c>
      <c r="I144" s="11" t="s">
        <v>60</v>
      </c>
      <c r="J144" s="10"/>
      <c r="K144" s="10" t="s">
        <v>61</v>
      </c>
      <c r="L144" s="13" t="s">
        <v>62</v>
      </c>
      <c r="M144" s="14"/>
      <c r="N144" s="15" t="s">
        <v>678</v>
      </c>
      <c r="O144" s="16"/>
      <c r="P144" s="14" t="s">
        <v>64</v>
      </c>
      <c r="Q144" s="17">
        <f t="shared" si="8"/>
        <v>1.0393952609390744E-2</v>
      </c>
      <c r="R144" s="11"/>
      <c r="S144" s="18">
        <f t="shared" si="9"/>
        <v>136.15</v>
      </c>
      <c r="T144" s="18">
        <f t="shared" si="10"/>
        <v>137.57999999999998</v>
      </c>
    </row>
    <row r="145" spans="1:20" ht="28.8" x14ac:dyDescent="0.3">
      <c r="A145" s="9" t="s">
        <v>679</v>
      </c>
      <c r="B145" s="10" t="s">
        <v>54</v>
      </c>
      <c r="C145" s="10" t="s">
        <v>533</v>
      </c>
      <c r="D145" s="10">
        <v>14</v>
      </c>
      <c r="E145" s="10" t="s">
        <v>150</v>
      </c>
      <c r="F145" s="11" t="s">
        <v>601</v>
      </c>
      <c r="G145" s="12" t="s">
        <v>680</v>
      </c>
      <c r="H145" s="11" t="s">
        <v>645</v>
      </c>
      <c r="I145" s="11" t="s">
        <v>60</v>
      </c>
      <c r="J145" s="10"/>
      <c r="K145" s="10" t="s">
        <v>61</v>
      </c>
      <c r="L145" s="13" t="s">
        <v>62</v>
      </c>
      <c r="M145" s="14"/>
      <c r="N145" s="15" t="s">
        <v>681</v>
      </c>
      <c r="O145" s="16"/>
      <c r="P145" s="14" t="s">
        <v>64</v>
      </c>
      <c r="Q145" s="17">
        <f t="shared" si="8"/>
        <v>2.587991718426501E-3</v>
      </c>
      <c r="R145" s="11"/>
      <c r="S145" s="18">
        <f t="shared" si="9"/>
        <v>289.05</v>
      </c>
      <c r="T145" s="18">
        <f t="shared" si="10"/>
        <v>289.8</v>
      </c>
    </row>
    <row r="146" spans="1:20" ht="28.8" x14ac:dyDescent="0.3">
      <c r="A146" s="9" t="s">
        <v>682</v>
      </c>
      <c r="B146" s="10" t="s">
        <v>54</v>
      </c>
      <c r="C146" s="10" t="s">
        <v>533</v>
      </c>
      <c r="D146" s="10">
        <v>15</v>
      </c>
      <c r="E146" s="10" t="s">
        <v>56</v>
      </c>
      <c r="F146" s="11" t="s">
        <v>534</v>
      </c>
      <c r="G146" s="12" t="s">
        <v>683</v>
      </c>
      <c r="H146" s="11" t="s">
        <v>684</v>
      </c>
      <c r="I146" s="11" t="s">
        <v>60</v>
      </c>
      <c r="J146" s="10"/>
      <c r="K146" s="10" t="s">
        <v>61</v>
      </c>
      <c r="L146" s="13" t="s">
        <v>62</v>
      </c>
      <c r="M146" s="14" t="s">
        <v>1759</v>
      </c>
      <c r="N146" s="15" t="s">
        <v>1760</v>
      </c>
      <c r="O146" s="16"/>
      <c r="P146" s="14" t="s">
        <v>64</v>
      </c>
      <c r="Q146" s="17">
        <f t="shared" si="8"/>
        <v>2.3210070810385657E-2</v>
      </c>
      <c r="R146" s="11"/>
      <c r="S146" s="18">
        <f t="shared" si="9"/>
        <v>24.83</v>
      </c>
      <c r="T146" s="18">
        <f t="shared" si="10"/>
        <v>25.42</v>
      </c>
    </row>
    <row r="147" spans="1:20" ht="28.8" x14ac:dyDescent="0.3">
      <c r="A147" s="9" t="s">
        <v>685</v>
      </c>
      <c r="B147" s="10" t="s">
        <v>54</v>
      </c>
      <c r="C147" s="10" t="s">
        <v>533</v>
      </c>
      <c r="D147" s="10">
        <v>15</v>
      </c>
      <c r="E147" s="10" t="s">
        <v>66</v>
      </c>
      <c r="F147" s="11" t="s">
        <v>534</v>
      </c>
      <c r="G147" s="12" t="s">
        <v>686</v>
      </c>
      <c r="H147" s="11" t="s">
        <v>687</v>
      </c>
      <c r="I147" s="11" t="s">
        <v>60</v>
      </c>
      <c r="J147" s="10"/>
      <c r="K147" s="10" t="s">
        <v>61</v>
      </c>
      <c r="L147" s="13" t="s">
        <v>62</v>
      </c>
      <c r="M147" s="14"/>
      <c r="N147" s="15" t="s">
        <v>688</v>
      </c>
      <c r="O147" s="16"/>
      <c r="P147" s="14" t="s">
        <v>64</v>
      </c>
      <c r="Q147" s="17">
        <f t="shared" si="8"/>
        <v>3.794037940379419E-3</v>
      </c>
      <c r="R147" s="11"/>
      <c r="S147" s="18">
        <f t="shared" si="9"/>
        <v>55.14</v>
      </c>
      <c r="T147" s="18">
        <f t="shared" si="10"/>
        <v>55.35</v>
      </c>
    </row>
    <row r="148" spans="1:20" ht="28.8" x14ac:dyDescent="0.3">
      <c r="A148" s="9" t="s">
        <v>689</v>
      </c>
      <c r="B148" s="10" t="s">
        <v>54</v>
      </c>
      <c r="C148" s="10" t="s">
        <v>533</v>
      </c>
      <c r="D148" s="10">
        <v>15</v>
      </c>
      <c r="E148" s="10" t="s">
        <v>70</v>
      </c>
      <c r="F148" s="11" t="s">
        <v>540</v>
      </c>
      <c r="G148" s="12" t="s">
        <v>690</v>
      </c>
      <c r="H148" s="11" t="s">
        <v>691</v>
      </c>
      <c r="I148" s="11" t="s">
        <v>60</v>
      </c>
      <c r="J148" s="10"/>
      <c r="K148" s="10" t="s">
        <v>61</v>
      </c>
      <c r="L148" s="13" t="s">
        <v>62</v>
      </c>
      <c r="M148" s="14"/>
      <c r="N148" s="15" t="s">
        <v>692</v>
      </c>
      <c r="O148" s="16"/>
      <c r="P148" s="14" t="s">
        <v>64</v>
      </c>
      <c r="Q148" s="17">
        <f t="shared" si="8"/>
        <v>3.128964059196656E-3</v>
      </c>
      <c r="R148" s="11"/>
      <c r="S148" s="18">
        <f t="shared" si="9"/>
        <v>117.88</v>
      </c>
      <c r="T148" s="18">
        <f t="shared" si="10"/>
        <v>118.25</v>
      </c>
    </row>
    <row r="149" spans="1:20" ht="28.8" x14ac:dyDescent="0.3">
      <c r="A149" s="9" t="s">
        <v>693</v>
      </c>
      <c r="B149" s="10" t="s">
        <v>54</v>
      </c>
      <c r="C149" s="10" t="s">
        <v>533</v>
      </c>
      <c r="D149" s="10">
        <v>15</v>
      </c>
      <c r="E149" s="10" t="s">
        <v>75</v>
      </c>
      <c r="F149" s="11" t="s">
        <v>694</v>
      </c>
      <c r="G149" s="12" t="s">
        <v>695</v>
      </c>
      <c r="H149" s="11" t="s">
        <v>512</v>
      </c>
      <c r="I149" s="11" t="s">
        <v>60</v>
      </c>
      <c r="J149" s="10"/>
      <c r="K149" s="10" t="s">
        <v>61</v>
      </c>
      <c r="L149" s="13" t="s">
        <v>62</v>
      </c>
      <c r="M149" s="14"/>
      <c r="N149" s="15" t="s">
        <v>696</v>
      </c>
      <c r="O149" s="16"/>
      <c r="P149" s="14" t="s">
        <v>64</v>
      </c>
      <c r="Q149" s="17">
        <f t="shared" si="8"/>
        <v>1.2311202013845167E-2</v>
      </c>
      <c r="R149" s="11"/>
      <c r="S149" s="18">
        <f t="shared" si="9"/>
        <v>251.11</v>
      </c>
      <c r="T149" s="18">
        <f t="shared" si="10"/>
        <v>254.24</v>
      </c>
    </row>
    <row r="150" spans="1:20" ht="28.8" x14ac:dyDescent="0.3">
      <c r="A150" s="9" t="s">
        <v>697</v>
      </c>
      <c r="B150" s="10" t="s">
        <v>54</v>
      </c>
      <c r="C150" s="10" t="s">
        <v>533</v>
      </c>
      <c r="D150" s="10">
        <v>15</v>
      </c>
      <c r="E150" s="10" t="s">
        <v>80</v>
      </c>
      <c r="F150" s="11" t="s">
        <v>626</v>
      </c>
      <c r="G150" s="12" t="s">
        <v>698</v>
      </c>
      <c r="H150" s="11" t="s">
        <v>699</v>
      </c>
      <c r="I150" s="11" t="s">
        <v>60</v>
      </c>
      <c r="J150" s="10"/>
      <c r="K150" s="10" t="s">
        <v>61</v>
      </c>
      <c r="L150" s="13" t="s">
        <v>62</v>
      </c>
      <c r="M150" s="14"/>
      <c r="N150" s="15" t="s">
        <v>700</v>
      </c>
      <c r="O150" s="16"/>
      <c r="P150" s="14" t="s">
        <v>64</v>
      </c>
      <c r="Q150" s="17">
        <f t="shared" si="8"/>
        <v>9.274645438034127E-4</v>
      </c>
      <c r="R150" s="11"/>
      <c r="S150" s="18">
        <f t="shared" si="9"/>
        <v>517.05999999999995</v>
      </c>
      <c r="T150" s="18">
        <f t="shared" si="10"/>
        <v>517.54</v>
      </c>
    </row>
    <row r="151" spans="1:20" ht="28.8" x14ac:dyDescent="0.3">
      <c r="A151" s="9" t="s">
        <v>701</v>
      </c>
      <c r="B151" s="10" t="s">
        <v>54</v>
      </c>
      <c r="C151" s="10" t="s">
        <v>533</v>
      </c>
      <c r="D151" s="10">
        <v>15</v>
      </c>
      <c r="E151" s="10" t="s">
        <v>86</v>
      </c>
      <c r="F151" s="11" t="s">
        <v>702</v>
      </c>
      <c r="G151" s="12" t="s">
        <v>703</v>
      </c>
      <c r="H151" s="11" t="s">
        <v>704</v>
      </c>
      <c r="I151" s="11" t="s">
        <v>60</v>
      </c>
      <c r="J151" s="10"/>
      <c r="K151" s="10" t="s">
        <v>61</v>
      </c>
      <c r="L151" s="13" t="s">
        <v>62</v>
      </c>
      <c r="M151" s="14"/>
      <c r="N151" s="15" t="s">
        <v>705</v>
      </c>
      <c r="O151" s="16"/>
      <c r="P151" s="14" t="s">
        <v>64</v>
      </c>
      <c r="Q151" s="17">
        <f t="shared" si="8"/>
        <v>7.8388228013477456E-3</v>
      </c>
      <c r="R151" s="11"/>
      <c r="S151" s="18">
        <f t="shared" si="9"/>
        <v>1010.03</v>
      </c>
      <c r="T151" s="18">
        <f t="shared" si="10"/>
        <v>1018.01</v>
      </c>
    </row>
    <row r="152" spans="1:20" ht="28.8" x14ac:dyDescent="0.3">
      <c r="A152" s="9" t="s">
        <v>706</v>
      </c>
      <c r="B152" s="10" t="s">
        <v>54</v>
      </c>
      <c r="C152" s="10" t="s">
        <v>533</v>
      </c>
      <c r="D152" s="10">
        <v>15</v>
      </c>
      <c r="E152" s="10" t="s">
        <v>92</v>
      </c>
      <c r="F152" s="11" t="s">
        <v>534</v>
      </c>
      <c r="G152" s="12" t="s">
        <v>707</v>
      </c>
      <c r="H152" s="11" t="s">
        <v>317</v>
      </c>
      <c r="I152" s="11" t="s">
        <v>60</v>
      </c>
      <c r="J152" s="10"/>
      <c r="K152" s="10" t="s">
        <v>61</v>
      </c>
      <c r="L152" s="13" t="s">
        <v>62</v>
      </c>
      <c r="M152" s="14" t="s">
        <v>617</v>
      </c>
      <c r="N152" s="15" t="s">
        <v>584</v>
      </c>
      <c r="O152" s="16"/>
      <c r="P152" s="14" t="s">
        <v>64</v>
      </c>
      <c r="Q152" s="17">
        <f t="shared" si="8"/>
        <v>3.0476873431337446E-2</v>
      </c>
      <c r="R152" s="11"/>
      <c r="S152" s="18">
        <f t="shared" si="9"/>
        <v>27.04</v>
      </c>
      <c r="T152" s="18">
        <f t="shared" si="10"/>
        <v>27.89</v>
      </c>
    </row>
    <row r="153" spans="1:20" ht="28.8" x14ac:dyDescent="0.3">
      <c r="A153" s="9" t="s">
        <v>708</v>
      </c>
      <c r="B153" s="10" t="s">
        <v>54</v>
      </c>
      <c r="C153" s="10" t="s">
        <v>533</v>
      </c>
      <c r="D153" s="10">
        <v>15</v>
      </c>
      <c r="E153" s="10" t="s">
        <v>98</v>
      </c>
      <c r="F153" s="11" t="s">
        <v>534</v>
      </c>
      <c r="G153" s="12" t="s">
        <v>709</v>
      </c>
      <c r="H153" s="11" t="s">
        <v>710</v>
      </c>
      <c r="I153" s="11" t="s">
        <v>60</v>
      </c>
      <c r="J153" s="10"/>
      <c r="K153" s="10" t="s">
        <v>61</v>
      </c>
      <c r="L153" s="13" t="s">
        <v>62</v>
      </c>
      <c r="M153" s="14"/>
      <c r="N153" s="15" t="s">
        <v>711</v>
      </c>
      <c r="O153" s="16"/>
      <c r="P153" s="14" t="s">
        <v>64</v>
      </c>
      <c r="Q153" s="17">
        <f t="shared" si="8"/>
        <v>6.9432684165960474E-3</v>
      </c>
      <c r="R153" s="11"/>
      <c r="S153" s="18">
        <f t="shared" si="9"/>
        <v>58.64</v>
      </c>
      <c r="T153" s="18">
        <f t="shared" si="10"/>
        <v>59.05</v>
      </c>
    </row>
    <row r="154" spans="1:20" ht="28.8" x14ac:dyDescent="0.3">
      <c r="A154" s="9" t="s">
        <v>712</v>
      </c>
      <c r="B154" s="10" t="s">
        <v>54</v>
      </c>
      <c r="C154" s="10" t="s">
        <v>533</v>
      </c>
      <c r="D154" s="10">
        <v>15</v>
      </c>
      <c r="E154" s="10" t="s">
        <v>103</v>
      </c>
      <c r="F154" s="11" t="s">
        <v>617</v>
      </c>
      <c r="G154" s="12" t="s">
        <v>713</v>
      </c>
      <c r="H154" s="11" t="s">
        <v>714</v>
      </c>
      <c r="I154" s="11" t="s">
        <v>60</v>
      </c>
      <c r="J154" s="10"/>
      <c r="K154" s="10" t="s">
        <v>61</v>
      </c>
      <c r="L154" s="13" t="s">
        <v>62</v>
      </c>
      <c r="M154" s="14" t="s">
        <v>1753</v>
      </c>
      <c r="N154" s="15" t="s">
        <v>715</v>
      </c>
      <c r="O154" s="16"/>
      <c r="P154" s="14" t="s">
        <v>64</v>
      </c>
      <c r="Q154" s="17">
        <f t="shared" si="8"/>
        <v>4.9378976067858196E-2</v>
      </c>
      <c r="R154" s="11"/>
      <c r="S154" s="18">
        <f t="shared" si="9"/>
        <v>125.52</v>
      </c>
      <c r="T154" s="18">
        <f t="shared" si="10"/>
        <v>132.04</v>
      </c>
    </row>
    <row r="155" spans="1:20" ht="28.8" x14ac:dyDescent="0.3">
      <c r="A155" s="9" t="s">
        <v>716</v>
      </c>
      <c r="B155" s="10" t="s">
        <v>54</v>
      </c>
      <c r="C155" s="10" t="s">
        <v>533</v>
      </c>
      <c r="D155" s="10">
        <v>15</v>
      </c>
      <c r="E155" s="10" t="s">
        <v>109</v>
      </c>
      <c r="F155" s="11" t="s">
        <v>717</v>
      </c>
      <c r="G155" s="12" t="s">
        <v>718</v>
      </c>
      <c r="H155" s="11" t="s">
        <v>719</v>
      </c>
      <c r="I155" s="11" t="s">
        <v>60</v>
      </c>
      <c r="J155" s="10"/>
      <c r="K155" s="10" t="s">
        <v>61</v>
      </c>
      <c r="L155" s="13" t="s">
        <v>62</v>
      </c>
      <c r="M155" s="14"/>
      <c r="N155" s="15" t="s">
        <v>720</v>
      </c>
      <c r="O155" s="16"/>
      <c r="P155" s="14" t="s">
        <v>64</v>
      </c>
      <c r="Q155" s="17">
        <f t="shared" si="8"/>
        <v>1.2751036021676829E-2</v>
      </c>
      <c r="R155" s="11"/>
      <c r="S155" s="18">
        <f t="shared" si="9"/>
        <v>30.97</v>
      </c>
      <c r="T155" s="18">
        <f t="shared" si="10"/>
        <v>31.37</v>
      </c>
    </row>
    <row r="156" spans="1:20" ht="28.8" x14ac:dyDescent="0.3">
      <c r="A156" s="9" t="s">
        <v>721</v>
      </c>
      <c r="B156" s="10" t="s">
        <v>54</v>
      </c>
      <c r="C156" s="10" t="s">
        <v>533</v>
      </c>
      <c r="D156" s="10">
        <v>15</v>
      </c>
      <c r="E156" s="10" t="s">
        <v>115</v>
      </c>
      <c r="F156" s="11" t="s">
        <v>658</v>
      </c>
      <c r="G156" s="12" t="s">
        <v>722</v>
      </c>
      <c r="H156" s="11" t="s">
        <v>723</v>
      </c>
      <c r="I156" s="11" t="s">
        <v>60</v>
      </c>
      <c r="J156" s="10"/>
      <c r="K156" s="10" t="s">
        <v>61</v>
      </c>
      <c r="L156" s="13" t="s">
        <v>62</v>
      </c>
      <c r="M156" s="14" t="s">
        <v>694</v>
      </c>
      <c r="N156" s="15" t="s">
        <v>724</v>
      </c>
      <c r="O156" s="16"/>
      <c r="P156" s="14" t="s">
        <v>64</v>
      </c>
      <c r="Q156" s="17">
        <f t="shared" si="8"/>
        <v>2.9668411867364835E-2</v>
      </c>
      <c r="R156" s="11"/>
      <c r="S156" s="18">
        <f t="shared" si="9"/>
        <v>66.72</v>
      </c>
      <c r="T156" s="18">
        <f t="shared" si="10"/>
        <v>68.760000000000005</v>
      </c>
    </row>
    <row r="157" spans="1:20" ht="28.8" x14ac:dyDescent="0.3">
      <c r="A157" s="9" t="s">
        <v>725</v>
      </c>
      <c r="B157" s="10" t="s">
        <v>54</v>
      </c>
      <c r="C157" s="10" t="s">
        <v>533</v>
      </c>
      <c r="D157" s="10">
        <v>15</v>
      </c>
      <c r="E157" s="10" t="s">
        <v>120</v>
      </c>
      <c r="F157" s="11" t="s">
        <v>658</v>
      </c>
      <c r="G157" s="12" t="s">
        <v>726</v>
      </c>
      <c r="H157" s="11" t="s">
        <v>727</v>
      </c>
      <c r="I157" s="11" t="s">
        <v>60</v>
      </c>
      <c r="J157" s="10"/>
      <c r="K157" s="10" t="s">
        <v>61</v>
      </c>
      <c r="L157" s="13" t="s">
        <v>62</v>
      </c>
      <c r="M157" s="14"/>
      <c r="N157" s="15" t="s">
        <v>728</v>
      </c>
      <c r="O157" s="16"/>
      <c r="P157" s="14" t="s">
        <v>64</v>
      </c>
      <c r="Q157" s="17">
        <f t="shared" si="8"/>
        <v>2.6464002171405345E-2</v>
      </c>
      <c r="R157" s="11"/>
      <c r="S157" s="18">
        <f t="shared" si="9"/>
        <v>143.47</v>
      </c>
      <c r="T157" s="18">
        <f t="shared" si="10"/>
        <v>147.37</v>
      </c>
    </row>
    <row r="158" spans="1:20" ht="28.8" x14ac:dyDescent="0.3">
      <c r="A158" s="9" t="s">
        <v>729</v>
      </c>
      <c r="B158" s="10" t="s">
        <v>54</v>
      </c>
      <c r="C158" s="10" t="s">
        <v>533</v>
      </c>
      <c r="D158" s="10">
        <v>15</v>
      </c>
      <c r="E158" s="10" t="s">
        <v>126</v>
      </c>
      <c r="F158" s="11" t="s">
        <v>579</v>
      </c>
      <c r="G158" s="12" t="s">
        <v>730</v>
      </c>
      <c r="H158" s="11" t="s">
        <v>731</v>
      </c>
      <c r="I158" s="11" t="s">
        <v>60</v>
      </c>
      <c r="J158" s="10"/>
      <c r="K158" s="10" t="s">
        <v>61</v>
      </c>
      <c r="L158" s="13" t="s">
        <v>62</v>
      </c>
      <c r="M158" s="14"/>
      <c r="N158" s="15" t="s">
        <v>732</v>
      </c>
      <c r="O158" s="16"/>
      <c r="P158" s="14" t="s">
        <v>64</v>
      </c>
      <c r="Q158" s="17">
        <f t="shared" si="8"/>
        <v>8.4902177925433898E-3</v>
      </c>
      <c r="R158" s="11"/>
      <c r="S158" s="18">
        <f t="shared" si="9"/>
        <v>26.86</v>
      </c>
      <c r="T158" s="18">
        <f t="shared" si="10"/>
        <v>27.09</v>
      </c>
    </row>
    <row r="159" spans="1:20" ht="28.8" x14ac:dyDescent="0.3">
      <c r="A159" s="9" t="s">
        <v>733</v>
      </c>
      <c r="B159" s="10" t="s">
        <v>54</v>
      </c>
      <c r="C159" s="10" t="s">
        <v>533</v>
      </c>
      <c r="D159" s="10">
        <v>15</v>
      </c>
      <c r="E159" s="10" t="s">
        <v>130</v>
      </c>
      <c r="F159" s="11" t="s">
        <v>617</v>
      </c>
      <c r="G159" s="12" t="s">
        <v>734</v>
      </c>
      <c r="H159" s="11" t="s">
        <v>735</v>
      </c>
      <c r="I159" s="11" t="s">
        <v>60</v>
      </c>
      <c r="J159" s="10"/>
      <c r="K159" s="10" t="s">
        <v>61</v>
      </c>
      <c r="L159" s="13" t="s">
        <v>62</v>
      </c>
      <c r="M159" s="14"/>
      <c r="N159" s="15" t="s">
        <v>736</v>
      </c>
      <c r="O159" s="16"/>
      <c r="P159" s="14" t="s">
        <v>64</v>
      </c>
      <c r="Q159" s="17">
        <f t="shared" si="8"/>
        <v>2.0029796391325835E-2</v>
      </c>
      <c r="R159" s="11"/>
      <c r="S159" s="18">
        <f t="shared" si="9"/>
        <v>59.2</v>
      </c>
      <c r="T159" s="18">
        <f t="shared" si="10"/>
        <v>60.41</v>
      </c>
    </row>
    <row r="160" spans="1:20" ht="28.8" x14ac:dyDescent="0.3">
      <c r="A160" s="9" t="s">
        <v>737</v>
      </c>
      <c r="B160" s="10" t="s">
        <v>54</v>
      </c>
      <c r="C160" s="10" t="s">
        <v>533</v>
      </c>
      <c r="D160" s="10">
        <v>15</v>
      </c>
      <c r="E160" s="10" t="s">
        <v>135</v>
      </c>
      <c r="F160" s="11" t="s">
        <v>738</v>
      </c>
      <c r="G160" s="12" t="s">
        <v>739</v>
      </c>
      <c r="H160" s="11" t="s">
        <v>637</v>
      </c>
      <c r="I160" s="11" t="s">
        <v>60</v>
      </c>
      <c r="J160" s="10"/>
      <c r="K160" s="10" t="s">
        <v>61</v>
      </c>
      <c r="L160" s="13" t="s">
        <v>62</v>
      </c>
      <c r="M160" s="14"/>
      <c r="N160" s="15" t="s">
        <v>740</v>
      </c>
      <c r="O160" s="16"/>
      <c r="P160" s="14" t="s">
        <v>64</v>
      </c>
      <c r="Q160" s="17">
        <f t="shared" si="8"/>
        <v>1.0654039656703151E-2</v>
      </c>
      <c r="R160" s="11"/>
      <c r="S160" s="18">
        <f t="shared" si="9"/>
        <v>133.72</v>
      </c>
      <c r="T160" s="18">
        <f t="shared" si="10"/>
        <v>135.16</v>
      </c>
    </row>
    <row r="161" spans="1:20" ht="28.8" x14ac:dyDescent="0.3">
      <c r="A161" s="9" t="s">
        <v>741</v>
      </c>
      <c r="B161" s="10" t="s">
        <v>54</v>
      </c>
      <c r="C161" s="10" t="s">
        <v>533</v>
      </c>
      <c r="D161" s="10">
        <v>15</v>
      </c>
      <c r="E161" s="10" t="s">
        <v>141</v>
      </c>
      <c r="F161" s="11" t="s">
        <v>534</v>
      </c>
      <c r="G161" s="12" t="s">
        <v>742</v>
      </c>
      <c r="H161" s="11" t="s">
        <v>684</v>
      </c>
      <c r="I161" s="11" t="s">
        <v>60</v>
      </c>
      <c r="J161" s="10"/>
      <c r="K161" s="10" t="s">
        <v>61</v>
      </c>
      <c r="L161" s="13" t="s">
        <v>62</v>
      </c>
      <c r="M161" s="14"/>
      <c r="N161" s="15" t="s">
        <v>743</v>
      </c>
      <c r="O161" s="16"/>
      <c r="P161" s="14" t="s">
        <v>64</v>
      </c>
      <c r="Q161" s="17">
        <f t="shared" si="8"/>
        <v>2.3851168707266657E-2</v>
      </c>
      <c r="R161" s="11"/>
      <c r="S161" s="18">
        <f t="shared" si="9"/>
        <v>61.39</v>
      </c>
      <c r="T161" s="18">
        <f t="shared" si="10"/>
        <v>62.89</v>
      </c>
    </row>
    <row r="162" spans="1:20" ht="28.8" x14ac:dyDescent="0.3">
      <c r="A162" s="9" t="s">
        <v>744</v>
      </c>
      <c r="B162" s="10" t="s">
        <v>54</v>
      </c>
      <c r="C162" s="10" t="s">
        <v>533</v>
      </c>
      <c r="D162" s="10">
        <v>15</v>
      </c>
      <c r="E162" s="10" t="s">
        <v>146</v>
      </c>
      <c r="F162" s="11" t="s">
        <v>617</v>
      </c>
      <c r="G162" s="12" t="s">
        <v>745</v>
      </c>
      <c r="H162" s="11" t="s">
        <v>746</v>
      </c>
      <c r="I162" s="11" t="s">
        <v>60</v>
      </c>
      <c r="J162" s="10"/>
      <c r="K162" s="10" t="s">
        <v>61</v>
      </c>
      <c r="L162" s="13" t="s">
        <v>62</v>
      </c>
      <c r="M162" s="14"/>
      <c r="N162" s="15" t="s">
        <v>747</v>
      </c>
      <c r="O162" s="16"/>
      <c r="P162" s="14" t="s">
        <v>64</v>
      </c>
      <c r="Q162" s="17">
        <f t="shared" si="8"/>
        <v>1.7037037037036279E-3</v>
      </c>
      <c r="R162" s="11"/>
      <c r="S162" s="18">
        <f t="shared" si="9"/>
        <v>134.77000000000001</v>
      </c>
      <c r="T162" s="18">
        <f t="shared" si="10"/>
        <v>135</v>
      </c>
    </row>
    <row r="163" spans="1:20" ht="28.8" x14ac:dyDescent="0.3">
      <c r="A163" s="9" t="s">
        <v>748</v>
      </c>
      <c r="B163" s="10" t="s">
        <v>54</v>
      </c>
      <c r="C163" s="10" t="s">
        <v>533</v>
      </c>
      <c r="D163" s="10">
        <v>15</v>
      </c>
      <c r="E163" s="10" t="s">
        <v>150</v>
      </c>
      <c r="F163" s="11" t="s">
        <v>694</v>
      </c>
      <c r="G163" s="12" t="s">
        <v>749</v>
      </c>
      <c r="H163" s="11" t="s">
        <v>750</v>
      </c>
      <c r="I163" s="11" t="s">
        <v>60</v>
      </c>
      <c r="J163" s="10"/>
      <c r="K163" s="10" t="s">
        <v>61</v>
      </c>
      <c r="L163" s="13" t="s">
        <v>62</v>
      </c>
      <c r="M163" s="14"/>
      <c r="N163" s="15" t="s">
        <v>751</v>
      </c>
      <c r="O163" s="16"/>
      <c r="P163" s="14" t="s">
        <v>64</v>
      </c>
      <c r="Q163" s="17">
        <f t="shared" si="8"/>
        <v>5.1305161715256981E-3</v>
      </c>
      <c r="R163" s="11"/>
      <c r="S163" s="18">
        <f t="shared" si="9"/>
        <v>286.99</v>
      </c>
      <c r="T163" s="18">
        <f t="shared" si="10"/>
        <v>288.47000000000003</v>
      </c>
    </row>
    <row r="164" spans="1:20" ht="28.8" x14ac:dyDescent="0.3">
      <c r="A164" s="9" t="s">
        <v>752</v>
      </c>
      <c r="B164" s="10" t="s">
        <v>54</v>
      </c>
      <c r="C164" s="10" t="s">
        <v>533</v>
      </c>
      <c r="D164" s="10">
        <v>16</v>
      </c>
      <c r="E164" s="10" t="s">
        <v>56</v>
      </c>
      <c r="F164" s="11" t="s">
        <v>753</v>
      </c>
      <c r="G164" s="12" t="s">
        <v>754</v>
      </c>
      <c r="H164" s="11" t="s">
        <v>755</v>
      </c>
      <c r="I164" s="11" t="s">
        <v>60</v>
      </c>
      <c r="J164" s="10"/>
      <c r="K164" s="10" t="s">
        <v>62</v>
      </c>
      <c r="L164" s="13" t="s">
        <v>756</v>
      </c>
      <c r="M164" s="22"/>
      <c r="N164" s="23" t="s">
        <v>754</v>
      </c>
      <c r="O164" s="24"/>
      <c r="P164" s="22" t="s">
        <v>757</v>
      </c>
      <c r="Q164" s="17">
        <v>0</v>
      </c>
      <c r="R164" s="11" t="s">
        <v>758</v>
      </c>
      <c r="S164" s="18">
        <f t="shared" si="9"/>
        <v>24.85</v>
      </c>
      <c r="T164" s="18">
        <f t="shared" si="10"/>
        <v>24.85</v>
      </c>
    </row>
    <row r="165" spans="1:20" ht="28.8" x14ac:dyDescent="0.3">
      <c r="A165" s="9" t="s">
        <v>759</v>
      </c>
      <c r="B165" s="10" t="s">
        <v>54</v>
      </c>
      <c r="C165" s="10" t="s">
        <v>533</v>
      </c>
      <c r="D165" s="10">
        <v>16</v>
      </c>
      <c r="E165" s="10" t="s">
        <v>66</v>
      </c>
      <c r="F165" s="11" t="s">
        <v>612</v>
      </c>
      <c r="G165" s="12" t="s">
        <v>760</v>
      </c>
      <c r="H165" s="11" t="s">
        <v>761</v>
      </c>
      <c r="I165" s="11" t="s">
        <v>60</v>
      </c>
      <c r="J165" s="10"/>
      <c r="K165" s="10" t="s">
        <v>61</v>
      </c>
      <c r="L165" s="13" t="s">
        <v>62</v>
      </c>
      <c r="M165" s="14"/>
      <c r="N165" s="15" t="s">
        <v>762</v>
      </c>
      <c r="O165" s="16"/>
      <c r="P165" s="14" t="s">
        <v>64</v>
      </c>
      <c r="Q165" s="17">
        <f t="shared" ref="Q165:Q196" si="11">IF(OR(S165="",T165=""),"",(T165-S165)/T165)</f>
        <v>6.6322770817980733E-3</v>
      </c>
      <c r="R165" s="11"/>
      <c r="S165" s="18">
        <f t="shared" si="9"/>
        <v>53.92</v>
      </c>
      <c r="T165" s="18">
        <f t="shared" si="10"/>
        <v>54.28</v>
      </c>
    </row>
    <row r="166" spans="1:20" ht="28.8" x14ac:dyDescent="0.3">
      <c r="A166" s="9" t="s">
        <v>763</v>
      </c>
      <c r="B166" s="10" t="s">
        <v>54</v>
      </c>
      <c r="C166" s="10" t="s">
        <v>533</v>
      </c>
      <c r="D166" s="10">
        <v>16</v>
      </c>
      <c r="E166" s="10" t="s">
        <v>70</v>
      </c>
      <c r="F166" s="11" t="s">
        <v>540</v>
      </c>
      <c r="G166" s="12" t="s">
        <v>764</v>
      </c>
      <c r="H166" s="11" t="s">
        <v>765</v>
      </c>
      <c r="I166" s="11" t="s">
        <v>60</v>
      </c>
      <c r="J166" s="10"/>
      <c r="K166" s="10" t="s">
        <v>61</v>
      </c>
      <c r="L166" s="13" t="s">
        <v>62</v>
      </c>
      <c r="M166" s="14" t="s">
        <v>612</v>
      </c>
      <c r="N166" s="15" t="s">
        <v>766</v>
      </c>
      <c r="O166" s="16"/>
      <c r="P166" s="14" t="s">
        <v>64</v>
      </c>
      <c r="Q166" s="17">
        <f t="shared" si="11"/>
        <v>3.0866274179983312E-2</v>
      </c>
      <c r="R166" s="11"/>
      <c r="S166" s="18">
        <f t="shared" si="9"/>
        <v>115.22999999999999</v>
      </c>
      <c r="T166" s="18">
        <f t="shared" si="10"/>
        <v>118.9</v>
      </c>
    </row>
    <row r="167" spans="1:20" ht="28.8" x14ac:dyDescent="0.3">
      <c r="A167" s="9" t="s">
        <v>767</v>
      </c>
      <c r="B167" s="10" t="s">
        <v>54</v>
      </c>
      <c r="C167" s="10" t="s">
        <v>533</v>
      </c>
      <c r="D167" s="10">
        <v>16</v>
      </c>
      <c r="E167" s="10" t="s">
        <v>75</v>
      </c>
      <c r="F167" s="11" t="s">
        <v>540</v>
      </c>
      <c r="G167" s="12" t="s">
        <v>768</v>
      </c>
      <c r="H167" s="11" t="s">
        <v>761</v>
      </c>
      <c r="I167" s="11" t="s">
        <v>60</v>
      </c>
      <c r="J167" s="10"/>
      <c r="K167" s="10" t="s">
        <v>61</v>
      </c>
      <c r="L167" s="13" t="s">
        <v>62</v>
      </c>
      <c r="M167" s="14" t="s">
        <v>1754</v>
      </c>
      <c r="N167" s="15" t="s">
        <v>769</v>
      </c>
      <c r="O167" s="16"/>
      <c r="P167" s="14" t="s">
        <v>64</v>
      </c>
      <c r="Q167" s="17">
        <f t="shared" si="11"/>
        <v>3.4309823276548336E-2</v>
      </c>
      <c r="R167" s="11"/>
      <c r="S167" s="18">
        <f t="shared" si="9"/>
        <v>242.62</v>
      </c>
      <c r="T167" s="18">
        <f t="shared" si="10"/>
        <v>251.24</v>
      </c>
    </row>
    <row r="168" spans="1:20" ht="28.8" x14ac:dyDescent="0.3">
      <c r="A168" s="9" t="s">
        <v>770</v>
      </c>
      <c r="B168" s="10" t="s">
        <v>54</v>
      </c>
      <c r="C168" s="10" t="s">
        <v>533</v>
      </c>
      <c r="D168" s="10">
        <v>16</v>
      </c>
      <c r="E168" s="10" t="s">
        <v>80</v>
      </c>
      <c r="F168" s="11" t="s">
        <v>540</v>
      </c>
      <c r="G168" s="12" t="s">
        <v>771</v>
      </c>
      <c r="H168" s="11" t="s">
        <v>772</v>
      </c>
      <c r="I168" s="11" t="s">
        <v>60</v>
      </c>
      <c r="J168" s="10"/>
      <c r="K168" s="10" t="s">
        <v>61</v>
      </c>
      <c r="L168" s="13" t="s">
        <v>62</v>
      </c>
      <c r="M168" s="14"/>
      <c r="N168" s="15" t="s">
        <v>773</v>
      </c>
      <c r="O168" s="16"/>
      <c r="P168" s="14" t="s">
        <v>64</v>
      </c>
      <c r="Q168" s="17">
        <f t="shared" si="11"/>
        <v>2.72428189391461E-2</v>
      </c>
      <c r="R168" s="11"/>
      <c r="S168" s="18">
        <f t="shared" si="9"/>
        <v>505.61</v>
      </c>
      <c r="T168" s="18">
        <f t="shared" si="10"/>
        <v>519.77</v>
      </c>
    </row>
    <row r="169" spans="1:20" ht="28.8" x14ac:dyDescent="0.3">
      <c r="A169" s="9" t="s">
        <v>774</v>
      </c>
      <c r="B169" s="10" t="s">
        <v>54</v>
      </c>
      <c r="C169" s="10" t="s">
        <v>533</v>
      </c>
      <c r="D169" s="10">
        <v>16</v>
      </c>
      <c r="E169" s="10" t="s">
        <v>86</v>
      </c>
      <c r="F169" s="11" t="s">
        <v>775</v>
      </c>
      <c r="G169" s="12" t="s">
        <v>776</v>
      </c>
      <c r="H169" s="11" t="s">
        <v>777</v>
      </c>
      <c r="I169" s="11" t="s">
        <v>60</v>
      </c>
      <c r="J169" s="10"/>
      <c r="K169" s="10" t="s">
        <v>61</v>
      </c>
      <c r="L169" s="13" t="s">
        <v>62</v>
      </c>
      <c r="M169" s="14"/>
      <c r="N169" s="15" t="s">
        <v>778</v>
      </c>
      <c r="O169" s="16"/>
      <c r="P169" s="14" t="s">
        <v>64</v>
      </c>
      <c r="Q169" s="17">
        <f t="shared" si="11"/>
        <v>1.4665926263808259E-2</v>
      </c>
      <c r="R169" s="11"/>
      <c r="S169" s="18">
        <f t="shared" si="9"/>
        <v>993.67</v>
      </c>
      <c r="T169" s="18">
        <f t="shared" si="10"/>
        <v>1008.46</v>
      </c>
    </row>
    <row r="170" spans="1:20" ht="28.8" x14ac:dyDescent="0.3">
      <c r="A170" s="9" t="s">
        <v>779</v>
      </c>
      <c r="B170" s="10" t="s">
        <v>54</v>
      </c>
      <c r="C170" s="10" t="s">
        <v>533</v>
      </c>
      <c r="D170" s="10">
        <v>16</v>
      </c>
      <c r="E170" s="10" t="s">
        <v>92</v>
      </c>
      <c r="F170" s="11" t="s">
        <v>583</v>
      </c>
      <c r="G170" s="12" t="s">
        <v>780</v>
      </c>
      <c r="H170" s="11" t="s">
        <v>132</v>
      </c>
      <c r="I170" s="11" t="s">
        <v>60</v>
      </c>
      <c r="J170" s="10"/>
      <c r="K170" s="10" t="s">
        <v>61</v>
      </c>
      <c r="L170" s="13" t="s">
        <v>62</v>
      </c>
      <c r="M170" s="14"/>
      <c r="N170" s="15" t="s">
        <v>781</v>
      </c>
      <c r="O170" s="16"/>
      <c r="P170" s="14" t="s">
        <v>64</v>
      </c>
      <c r="Q170" s="17">
        <f t="shared" si="11"/>
        <v>4.6914471309997315E-3</v>
      </c>
      <c r="R170" s="11"/>
      <c r="S170" s="18">
        <f t="shared" si="9"/>
        <v>27.58</v>
      </c>
      <c r="T170" s="18">
        <f t="shared" si="10"/>
        <v>27.71</v>
      </c>
    </row>
    <row r="171" spans="1:20" ht="28.8" x14ac:dyDescent="0.3">
      <c r="A171" s="9" t="s">
        <v>782</v>
      </c>
      <c r="B171" s="10" t="s">
        <v>54</v>
      </c>
      <c r="C171" s="10" t="s">
        <v>533</v>
      </c>
      <c r="D171" s="10">
        <v>16</v>
      </c>
      <c r="E171" s="10" t="s">
        <v>98</v>
      </c>
      <c r="F171" s="11" t="s">
        <v>583</v>
      </c>
      <c r="G171" s="12" t="s">
        <v>783</v>
      </c>
      <c r="H171" s="11" t="s">
        <v>100</v>
      </c>
      <c r="I171" s="11" t="s">
        <v>60</v>
      </c>
      <c r="J171" s="10"/>
      <c r="K171" s="10" t="s">
        <v>61</v>
      </c>
      <c r="L171" s="13" t="s">
        <v>62</v>
      </c>
      <c r="M171" s="14"/>
      <c r="N171" s="15" t="s">
        <v>784</v>
      </c>
      <c r="O171" s="16"/>
      <c r="P171" s="14" t="s">
        <v>64</v>
      </c>
      <c r="Q171" s="17">
        <f t="shared" si="11"/>
        <v>2.687269062814857E-3</v>
      </c>
      <c r="R171" s="11"/>
      <c r="S171" s="18">
        <f t="shared" si="9"/>
        <v>59.38</v>
      </c>
      <c r="T171" s="18">
        <f t="shared" si="10"/>
        <v>59.54</v>
      </c>
    </row>
    <row r="172" spans="1:20" ht="28.8" x14ac:dyDescent="0.3">
      <c r="A172" s="9" t="s">
        <v>785</v>
      </c>
      <c r="B172" s="10" t="s">
        <v>54</v>
      </c>
      <c r="C172" s="10" t="s">
        <v>533</v>
      </c>
      <c r="D172" s="10">
        <v>16</v>
      </c>
      <c r="E172" s="10" t="s">
        <v>103</v>
      </c>
      <c r="F172" s="11" t="s">
        <v>617</v>
      </c>
      <c r="G172" s="12" t="s">
        <v>786</v>
      </c>
      <c r="H172" s="11" t="s">
        <v>787</v>
      </c>
      <c r="I172" s="11" t="s">
        <v>60</v>
      </c>
      <c r="J172" s="10"/>
      <c r="K172" s="10" t="s">
        <v>61</v>
      </c>
      <c r="L172" s="13" t="s">
        <v>62</v>
      </c>
      <c r="M172" s="14"/>
      <c r="N172" s="15" t="s">
        <v>788</v>
      </c>
      <c r="O172" s="16"/>
      <c r="P172" s="14" t="s">
        <v>64</v>
      </c>
      <c r="Q172" s="17">
        <f t="shared" si="11"/>
        <v>1.6730917501927432E-2</v>
      </c>
      <c r="R172" s="11"/>
      <c r="S172" s="18">
        <f t="shared" si="9"/>
        <v>127.53</v>
      </c>
      <c r="T172" s="18">
        <f t="shared" si="10"/>
        <v>129.69999999999999</v>
      </c>
    </row>
    <row r="173" spans="1:20" ht="28.8" x14ac:dyDescent="0.3">
      <c r="A173" s="9" t="s">
        <v>789</v>
      </c>
      <c r="B173" s="10" t="s">
        <v>54</v>
      </c>
      <c r="C173" s="10" t="s">
        <v>533</v>
      </c>
      <c r="D173" s="10">
        <v>16</v>
      </c>
      <c r="E173" s="10" t="s">
        <v>109</v>
      </c>
      <c r="F173" s="11" t="s">
        <v>717</v>
      </c>
      <c r="G173" s="12" t="s">
        <v>790</v>
      </c>
      <c r="H173" s="11" t="s">
        <v>237</v>
      </c>
      <c r="I173" s="11" t="s">
        <v>60</v>
      </c>
      <c r="J173" s="10"/>
      <c r="K173" s="10" t="s">
        <v>61</v>
      </c>
      <c r="L173" s="13" t="s">
        <v>62</v>
      </c>
      <c r="M173" s="14"/>
      <c r="N173" s="15" t="s">
        <v>791</v>
      </c>
      <c r="O173" s="16"/>
      <c r="P173" s="14" t="s">
        <v>64</v>
      </c>
      <c r="Q173" s="17">
        <f t="shared" si="11"/>
        <v>6.7961165048542821E-3</v>
      </c>
      <c r="R173" s="11"/>
      <c r="S173" s="18">
        <f t="shared" si="9"/>
        <v>30.69</v>
      </c>
      <c r="T173" s="18">
        <f t="shared" si="10"/>
        <v>30.9</v>
      </c>
    </row>
    <row r="174" spans="1:20" ht="28.8" x14ac:dyDescent="0.3">
      <c r="A174" s="9" t="s">
        <v>792</v>
      </c>
      <c r="B174" s="10" t="s">
        <v>54</v>
      </c>
      <c r="C174" s="10" t="s">
        <v>533</v>
      </c>
      <c r="D174" s="10">
        <v>16</v>
      </c>
      <c r="E174" s="10" t="s">
        <v>115</v>
      </c>
      <c r="F174" s="11" t="s">
        <v>579</v>
      </c>
      <c r="G174" s="12" t="s">
        <v>793</v>
      </c>
      <c r="H174" s="11" t="s">
        <v>614</v>
      </c>
      <c r="I174" s="11" t="s">
        <v>60</v>
      </c>
      <c r="J174" s="10"/>
      <c r="K174" s="10" t="s">
        <v>61</v>
      </c>
      <c r="L174" s="13" t="s">
        <v>62</v>
      </c>
      <c r="M174" s="14"/>
      <c r="N174" s="15" t="s">
        <v>794</v>
      </c>
      <c r="O174" s="16"/>
      <c r="P174" s="14" t="s">
        <v>64</v>
      </c>
      <c r="Q174" s="17">
        <f t="shared" si="11"/>
        <v>1.1484098939929344E-2</v>
      </c>
      <c r="R174" s="11"/>
      <c r="S174" s="18">
        <f t="shared" si="9"/>
        <v>67.14</v>
      </c>
      <c r="T174" s="18">
        <f t="shared" si="10"/>
        <v>67.92</v>
      </c>
    </row>
    <row r="175" spans="1:20" ht="28.8" x14ac:dyDescent="0.3">
      <c r="A175" s="9" t="s">
        <v>795</v>
      </c>
      <c r="B175" s="10" t="s">
        <v>54</v>
      </c>
      <c r="C175" s="10" t="s">
        <v>533</v>
      </c>
      <c r="D175" s="10">
        <v>16</v>
      </c>
      <c r="E175" s="10" t="s">
        <v>120</v>
      </c>
      <c r="F175" s="11" t="s">
        <v>796</v>
      </c>
      <c r="G175" s="12" t="s">
        <v>797</v>
      </c>
      <c r="H175" s="11" t="s">
        <v>400</v>
      </c>
      <c r="I175" s="11" t="s">
        <v>60</v>
      </c>
      <c r="J175" s="10"/>
      <c r="K175" s="10" t="s">
        <v>61</v>
      </c>
      <c r="L175" s="13" t="s">
        <v>62</v>
      </c>
      <c r="M175" s="14"/>
      <c r="N175" s="15" t="s">
        <v>798</v>
      </c>
      <c r="O175" s="16"/>
      <c r="P175" s="14" t="s">
        <v>64</v>
      </c>
      <c r="Q175" s="17">
        <f t="shared" si="11"/>
        <v>5.320600272851304E-3</v>
      </c>
      <c r="R175" s="11"/>
      <c r="S175" s="18">
        <f t="shared" si="9"/>
        <v>145.82</v>
      </c>
      <c r="T175" s="18">
        <f t="shared" si="10"/>
        <v>146.6</v>
      </c>
    </row>
    <row r="176" spans="1:20" ht="28.8" x14ac:dyDescent="0.3">
      <c r="A176" s="9" t="s">
        <v>799</v>
      </c>
      <c r="B176" s="10" t="s">
        <v>54</v>
      </c>
      <c r="C176" s="10" t="s">
        <v>533</v>
      </c>
      <c r="D176" s="10">
        <v>16</v>
      </c>
      <c r="E176" s="10" t="s">
        <v>126</v>
      </c>
      <c r="F176" s="11" t="s">
        <v>579</v>
      </c>
      <c r="G176" s="12" t="s">
        <v>800</v>
      </c>
      <c r="H176" s="11" t="s">
        <v>801</v>
      </c>
      <c r="I176" s="11" t="s">
        <v>60</v>
      </c>
      <c r="J176" s="10"/>
      <c r="K176" s="10" t="s">
        <v>61</v>
      </c>
      <c r="L176" s="13" t="s">
        <v>62</v>
      </c>
      <c r="M176" s="14"/>
      <c r="N176" s="15" t="s">
        <v>802</v>
      </c>
      <c r="O176" s="16"/>
      <c r="P176" s="14" t="s">
        <v>64</v>
      </c>
      <c r="Q176" s="17">
        <f t="shared" si="11"/>
        <v>1.4541387024608523E-2</v>
      </c>
      <c r="R176" s="11"/>
      <c r="S176" s="18">
        <f t="shared" si="9"/>
        <v>26.43</v>
      </c>
      <c r="T176" s="18">
        <f t="shared" si="10"/>
        <v>26.82</v>
      </c>
    </row>
    <row r="177" spans="1:20" ht="28.8" x14ac:dyDescent="0.3">
      <c r="A177" s="9" t="s">
        <v>803</v>
      </c>
      <c r="B177" s="10" t="s">
        <v>54</v>
      </c>
      <c r="C177" s="10" t="s">
        <v>533</v>
      </c>
      <c r="D177" s="10">
        <v>16</v>
      </c>
      <c r="E177" s="10" t="s">
        <v>130</v>
      </c>
      <c r="F177" s="11" t="s">
        <v>617</v>
      </c>
      <c r="G177" s="12" t="s">
        <v>804</v>
      </c>
      <c r="H177" s="11" t="s">
        <v>341</v>
      </c>
      <c r="I177" s="11" t="s">
        <v>60</v>
      </c>
      <c r="J177" s="10"/>
      <c r="K177" s="10" t="s">
        <v>61</v>
      </c>
      <c r="L177" s="13" t="s">
        <v>62</v>
      </c>
      <c r="M177" s="14"/>
      <c r="N177" s="15" t="s">
        <v>805</v>
      </c>
      <c r="O177" s="16"/>
      <c r="P177" s="14" t="s">
        <v>64</v>
      </c>
      <c r="Q177" s="17">
        <f t="shared" si="11"/>
        <v>1.3958964009418068E-2</v>
      </c>
      <c r="R177" s="11"/>
      <c r="S177" s="18">
        <f t="shared" si="9"/>
        <v>58.63</v>
      </c>
      <c r="T177" s="18">
        <f t="shared" si="10"/>
        <v>59.46</v>
      </c>
    </row>
    <row r="178" spans="1:20" ht="28.8" x14ac:dyDescent="0.3">
      <c r="A178" s="9" t="s">
        <v>806</v>
      </c>
      <c r="B178" s="10" t="s">
        <v>54</v>
      </c>
      <c r="C178" s="10" t="s">
        <v>533</v>
      </c>
      <c r="D178" s="10">
        <v>16</v>
      </c>
      <c r="E178" s="10" t="s">
        <v>135</v>
      </c>
      <c r="F178" s="11" t="s">
        <v>807</v>
      </c>
      <c r="G178" s="12" t="s">
        <v>808</v>
      </c>
      <c r="H178" s="11" t="s">
        <v>809</v>
      </c>
      <c r="I178" s="11" t="s">
        <v>60</v>
      </c>
      <c r="J178" s="10"/>
      <c r="K178" s="10" t="s">
        <v>61</v>
      </c>
      <c r="L178" s="13" t="s">
        <v>62</v>
      </c>
      <c r="M178" s="14"/>
      <c r="N178" s="15" t="s">
        <v>810</v>
      </c>
      <c r="O178" s="16"/>
      <c r="P178" s="14" t="s">
        <v>64</v>
      </c>
      <c r="Q178" s="17">
        <f t="shared" si="11"/>
        <v>6.9657703542804171E-3</v>
      </c>
      <c r="R178" s="11"/>
      <c r="S178" s="18">
        <f t="shared" si="9"/>
        <v>132.58000000000001</v>
      </c>
      <c r="T178" s="18">
        <f t="shared" si="10"/>
        <v>133.51</v>
      </c>
    </row>
    <row r="179" spans="1:20" ht="28.8" x14ac:dyDescent="0.3">
      <c r="A179" s="9" t="s">
        <v>811</v>
      </c>
      <c r="B179" s="10" t="s">
        <v>54</v>
      </c>
      <c r="C179" s="10" t="s">
        <v>533</v>
      </c>
      <c r="D179" s="10">
        <v>16</v>
      </c>
      <c r="E179" s="10" t="s">
        <v>141</v>
      </c>
      <c r="F179" s="11" t="s">
        <v>612</v>
      </c>
      <c r="G179" s="12" t="s">
        <v>812</v>
      </c>
      <c r="H179" s="11" t="s">
        <v>508</v>
      </c>
      <c r="I179" s="11" t="s">
        <v>60</v>
      </c>
      <c r="J179" s="10"/>
      <c r="K179" s="10" t="s">
        <v>61</v>
      </c>
      <c r="L179" s="13" t="s">
        <v>62</v>
      </c>
      <c r="M179" s="14"/>
      <c r="N179" s="15" t="s">
        <v>813</v>
      </c>
      <c r="O179" s="16"/>
      <c r="P179" s="14" t="s">
        <v>64</v>
      </c>
      <c r="Q179" s="17">
        <f t="shared" si="11"/>
        <v>4.8907727420933198E-3</v>
      </c>
      <c r="R179" s="11"/>
      <c r="S179" s="18">
        <f t="shared" si="9"/>
        <v>61.04</v>
      </c>
      <c r="T179" s="18">
        <f t="shared" si="10"/>
        <v>61.34</v>
      </c>
    </row>
    <row r="180" spans="1:20" ht="28.8" x14ac:dyDescent="0.3">
      <c r="A180" s="9" t="s">
        <v>814</v>
      </c>
      <c r="B180" s="10" t="s">
        <v>54</v>
      </c>
      <c r="C180" s="10" t="s">
        <v>533</v>
      </c>
      <c r="D180" s="10">
        <v>16</v>
      </c>
      <c r="E180" s="10" t="s">
        <v>146</v>
      </c>
      <c r="F180" s="11" t="s">
        <v>612</v>
      </c>
      <c r="G180" s="12" t="s">
        <v>148</v>
      </c>
      <c r="H180" s="11" t="s">
        <v>815</v>
      </c>
      <c r="I180" s="11" t="s">
        <v>60</v>
      </c>
      <c r="J180" s="10"/>
      <c r="K180" s="10" t="s">
        <v>61</v>
      </c>
      <c r="L180" s="13" t="s">
        <v>62</v>
      </c>
      <c r="M180" s="14"/>
      <c r="N180" s="15" t="s">
        <v>816</v>
      </c>
      <c r="O180" s="16"/>
      <c r="P180" s="14" t="s">
        <v>64</v>
      </c>
      <c r="Q180" s="17">
        <f t="shared" si="11"/>
        <v>4.1229385307347179E-3</v>
      </c>
      <c r="R180" s="11"/>
      <c r="S180" s="18">
        <f t="shared" si="9"/>
        <v>132.85</v>
      </c>
      <c r="T180" s="18">
        <f t="shared" si="10"/>
        <v>133.4</v>
      </c>
    </row>
    <row r="181" spans="1:20" ht="28.8" x14ac:dyDescent="0.3">
      <c r="A181" s="9" t="s">
        <v>817</v>
      </c>
      <c r="B181" s="10" t="s">
        <v>54</v>
      </c>
      <c r="C181" s="10" t="s">
        <v>533</v>
      </c>
      <c r="D181" s="10">
        <v>16</v>
      </c>
      <c r="E181" s="10" t="s">
        <v>150</v>
      </c>
      <c r="F181" s="11" t="s">
        <v>601</v>
      </c>
      <c r="G181" s="12" t="s">
        <v>818</v>
      </c>
      <c r="H181" s="11" t="s">
        <v>819</v>
      </c>
      <c r="I181" s="11" t="s">
        <v>60</v>
      </c>
      <c r="J181" s="10"/>
      <c r="K181" s="10" t="s">
        <v>61</v>
      </c>
      <c r="L181" s="13" t="s">
        <v>62</v>
      </c>
      <c r="M181" s="14"/>
      <c r="N181" s="15" t="s">
        <v>820</v>
      </c>
      <c r="O181" s="16"/>
      <c r="P181" s="14" t="s">
        <v>64</v>
      </c>
      <c r="Q181" s="17">
        <f t="shared" si="11"/>
        <v>2.6667130241290648E-2</v>
      </c>
      <c r="R181" s="11"/>
      <c r="S181" s="18">
        <f t="shared" si="9"/>
        <v>279.95</v>
      </c>
      <c r="T181" s="18">
        <f t="shared" si="10"/>
        <v>287.62</v>
      </c>
    </row>
    <row r="182" spans="1:20" ht="28.8" x14ac:dyDescent="0.3">
      <c r="A182" s="9" t="s">
        <v>821</v>
      </c>
      <c r="B182" s="10" t="s">
        <v>54</v>
      </c>
      <c r="C182" s="10" t="s">
        <v>533</v>
      </c>
      <c r="D182" s="10">
        <v>17</v>
      </c>
      <c r="E182" s="10" t="s">
        <v>56</v>
      </c>
      <c r="F182" s="11" t="s">
        <v>822</v>
      </c>
      <c r="G182" s="12" t="s">
        <v>823</v>
      </c>
      <c r="H182" s="11" t="s">
        <v>824</v>
      </c>
      <c r="I182" s="11" t="s">
        <v>60</v>
      </c>
      <c r="J182" s="10"/>
      <c r="K182" s="10" t="s">
        <v>61</v>
      </c>
      <c r="L182" s="13" t="s">
        <v>62</v>
      </c>
      <c r="M182" s="14"/>
      <c r="N182" s="15" t="s">
        <v>825</v>
      </c>
      <c r="O182" s="16"/>
      <c r="P182" s="14" t="s">
        <v>64</v>
      </c>
      <c r="Q182" s="17">
        <f t="shared" si="11"/>
        <v>2.814636107760365E-3</v>
      </c>
      <c r="R182" s="11"/>
      <c r="S182" s="18">
        <f t="shared" si="9"/>
        <v>24.8</v>
      </c>
      <c r="T182" s="18">
        <f t="shared" si="10"/>
        <v>24.87</v>
      </c>
    </row>
    <row r="183" spans="1:20" ht="28.8" x14ac:dyDescent="0.3">
      <c r="A183" s="9" t="s">
        <v>826</v>
      </c>
      <c r="B183" s="10" t="s">
        <v>54</v>
      </c>
      <c r="C183" s="10" t="s">
        <v>533</v>
      </c>
      <c r="D183" s="10">
        <v>17</v>
      </c>
      <c r="E183" s="10" t="s">
        <v>66</v>
      </c>
      <c r="F183" s="11" t="s">
        <v>822</v>
      </c>
      <c r="G183" s="12" t="s">
        <v>827</v>
      </c>
      <c r="H183" s="11" t="s">
        <v>828</v>
      </c>
      <c r="I183" s="11" t="s">
        <v>60</v>
      </c>
      <c r="J183" s="10"/>
      <c r="K183" s="10" t="s">
        <v>61</v>
      </c>
      <c r="L183" s="13" t="s">
        <v>62</v>
      </c>
      <c r="M183" s="14"/>
      <c r="N183" s="15" t="s">
        <v>368</v>
      </c>
      <c r="O183" s="16"/>
      <c r="P183" s="14" t="s">
        <v>64</v>
      </c>
      <c r="Q183" s="17">
        <f t="shared" si="11"/>
        <v>1.8532246108228581E-3</v>
      </c>
      <c r="R183" s="11"/>
      <c r="S183" s="18">
        <f t="shared" si="9"/>
        <v>53.86</v>
      </c>
      <c r="T183" s="18">
        <f t="shared" si="10"/>
        <v>53.96</v>
      </c>
    </row>
    <row r="184" spans="1:20" ht="28.8" x14ac:dyDescent="0.3">
      <c r="A184" s="9" t="s">
        <v>829</v>
      </c>
      <c r="B184" s="10" t="s">
        <v>54</v>
      </c>
      <c r="C184" s="10" t="s">
        <v>533</v>
      </c>
      <c r="D184" s="10">
        <v>17</v>
      </c>
      <c r="E184" s="10" t="s">
        <v>70</v>
      </c>
      <c r="F184" s="11" t="s">
        <v>540</v>
      </c>
      <c r="G184" s="12" t="s">
        <v>830</v>
      </c>
      <c r="H184" s="11" t="s">
        <v>831</v>
      </c>
      <c r="I184" s="11" t="s">
        <v>60</v>
      </c>
      <c r="J184" s="10"/>
      <c r="K184" s="10" t="s">
        <v>61</v>
      </c>
      <c r="L184" s="13" t="s">
        <v>62</v>
      </c>
      <c r="M184" s="14"/>
      <c r="N184" s="15" t="s">
        <v>832</v>
      </c>
      <c r="O184" s="16"/>
      <c r="P184" s="14" t="s">
        <v>64</v>
      </c>
      <c r="Q184" s="17">
        <f t="shared" si="11"/>
        <v>1.6747428377114671E-2</v>
      </c>
      <c r="R184" s="11"/>
      <c r="S184" s="18">
        <f t="shared" si="9"/>
        <v>115.66</v>
      </c>
      <c r="T184" s="18">
        <f t="shared" si="10"/>
        <v>117.63</v>
      </c>
    </row>
    <row r="185" spans="1:20" ht="28.8" x14ac:dyDescent="0.3">
      <c r="A185" s="9" t="s">
        <v>833</v>
      </c>
      <c r="B185" s="10" t="s">
        <v>54</v>
      </c>
      <c r="C185" s="10" t="s">
        <v>533</v>
      </c>
      <c r="D185" s="10">
        <v>17</v>
      </c>
      <c r="E185" s="10" t="s">
        <v>75</v>
      </c>
      <c r="F185" s="11" t="s">
        <v>540</v>
      </c>
      <c r="G185" s="12" t="s">
        <v>834</v>
      </c>
      <c r="H185" s="11" t="s">
        <v>815</v>
      </c>
      <c r="I185" s="11" t="s">
        <v>60</v>
      </c>
      <c r="J185" s="10"/>
      <c r="K185" s="10" t="s">
        <v>61</v>
      </c>
      <c r="L185" s="13" t="s">
        <v>62</v>
      </c>
      <c r="M185" s="14"/>
      <c r="N185" s="15" t="s">
        <v>835</v>
      </c>
      <c r="O185" s="16"/>
      <c r="P185" s="14" t="s">
        <v>64</v>
      </c>
      <c r="Q185" s="17">
        <f t="shared" si="11"/>
        <v>2.03214184512003E-2</v>
      </c>
      <c r="R185" s="11"/>
      <c r="S185" s="18">
        <f t="shared" si="9"/>
        <v>242.01</v>
      </c>
      <c r="T185" s="18">
        <f t="shared" si="10"/>
        <v>247.03</v>
      </c>
    </row>
    <row r="186" spans="1:20" ht="28.8" x14ac:dyDescent="0.3">
      <c r="A186" s="9" t="s">
        <v>836</v>
      </c>
      <c r="B186" s="10" t="s">
        <v>54</v>
      </c>
      <c r="C186" s="10" t="s">
        <v>533</v>
      </c>
      <c r="D186" s="10">
        <v>17</v>
      </c>
      <c r="E186" s="10" t="s">
        <v>80</v>
      </c>
      <c r="F186" s="11" t="s">
        <v>837</v>
      </c>
      <c r="G186" s="12" t="s">
        <v>838</v>
      </c>
      <c r="H186" s="11" t="s">
        <v>839</v>
      </c>
      <c r="I186" s="11" t="s">
        <v>60</v>
      </c>
      <c r="J186" s="10"/>
      <c r="K186" s="10" t="s">
        <v>61</v>
      </c>
      <c r="L186" s="13" t="s">
        <v>62</v>
      </c>
      <c r="M186" s="14"/>
      <c r="N186" s="15" t="s">
        <v>840</v>
      </c>
      <c r="O186" s="16"/>
      <c r="P186" s="14" t="s">
        <v>64</v>
      </c>
      <c r="Q186" s="17">
        <f t="shared" si="11"/>
        <v>1.1661242832790915E-2</v>
      </c>
      <c r="R186" s="11"/>
      <c r="S186" s="18">
        <f t="shared" si="9"/>
        <v>510.22</v>
      </c>
      <c r="T186" s="18">
        <f t="shared" si="10"/>
        <v>516.24</v>
      </c>
    </row>
    <row r="187" spans="1:20" ht="28.8" x14ac:dyDescent="0.3">
      <c r="A187" s="9" t="s">
        <v>841</v>
      </c>
      <c r="B187" s="10" t="s">
        <v>54</v>
      </c>
      <c r="C187" s="10" t="s">
        <v>533</v>
      </c>
      <c r="D187" s="10">
        <v>17</v>
      </c>
      <c r="E187" s="10" t="s">
        <v>86</v>
      </c>
      <c r="F187" s="11" t="s">
        <v>837</v>
      </c>
      <c r="G187" s="12" t="s">
        <v>842</v>
      </c>
      <c r="H187" s="11" t="s">
        <v>843</v>
      </c>
      <c r="I187" s="11" t="s">
        <v>60</v>
      </c>
      <c r="J187" s="10"/>
      <c r="K187" s="10" t="s">
        <v>61</v>
      </c>
      <c r="L187" s="13" t="s">
        <v>62</v>
      </c>
      <c r="M187" s="14"/>
      <c r="N187" s="15" t="s">
        <v>844</v>
      </c>
      <c r="O187" s="16"/>
      <c r="P187" s="14" t="s">
        <v>64</v>
      </c>
      <c r="Q187" s="17">
        <f t="shared" si="11"/>
        <v>2.5323839407836574E-2</v>
      </c>
      <c r="R187" s="11"/>
      <c r="S187" s="18">
        <f t="shared" si="9"/>
        <v>969.14</v>
      </c>
      <c r="T187" s="18">
        <f t="shared" si="10"/>
        <v>994.32</v>
      </c>
    </row>
    <row r="188" spans="1:20" ht="28.8" x14ac:dyDescent="0.3">
      <c r="A188" s="9" t="s">
        <v>845</v>
      </c>
      <c r="B188" s="10" t="s">
        <v>54</v>
      </c>
      <c r="C188" s="10" t="s">
        <v>533</v>
      </c>
      <c r="D188" s="10">
        <v>17</v>
      </c>
      <c r="E188" s="10" t="s">
        <v>92</v>
      </c>
      <c r="F188" s="11" t="s">
        <v>583</v>
      </c>
      <c r="G188" s="12" t="s">
        <v>846</v>
      </c>
      <c r="H188" s="11" t="s">
        <v>72</v>
      </c>
      <c r="I188" s="11" t="s">
        <v>60</v>
      </c>
      <c r="J188" s="10"/>
      <c r="K188" s="10" t="s">
        <v>61</v>
      </c>
      <c r="L188" s="13" t="s">
        <v>62</v>
      </c>
      <c r="M188" s="14"/>
      <c r="N188" s="15" t="s">
        <v>847</v>
      </c>
      <c r="O188" s="16"/>
      <c r="P188" s="14" t="s">
        <v>64</v>
      </c>
      <c r="Q188" s="17">
        <f t="shared" si="11"/>
        <v>6.1594202898551343E-3</v>
      </c>
      <c r="R188" s="11"/>
      <c r="S188" s="18">
        <f t="shared" si="9"/>
        <v>27.43</v>
      </c>
      <c r="T188" s="18">
        <f t="shared" si="10"/>
        <v>27.6</v>
      </c>
    </row>
    <row r="189" spans="1:20" ht="28.8" x14ac:dyDescent="0.3">
      <c r="A189" s="9" t="s">
        <v>848</v>
      </c>
      <c r="B189" s="10" t="s">
        <v>54</v>
      </c>
      <c r="C189" s="10" t="s">
        <v>533</v>
      </c>
      <c r="D189" s="10">
        <v>17</v>
      </c>
      <c r="E189" s="10" t="s">
        <v>98</v>
      </c>
      <c r="F189" s="11" t="s">
        <v>583</v>
      </c>
      <c r="G189" s="12" t="s">
        <v>849</v>
      </c>
      <c r="H189" s="11" t="s">
        <v>223</v>
      </c>
      <c r="I189" s="11" t="s">
        <v>60</v>
      </c>
      <c r="J189" s="10"/>
      <c r="K189" s="10" t="s">
        <v>61</v>
      </c>
      <c r="L189" s="13" t="s">
        <v>62</v>
      </c>
      <c r="M189" s="14" t="s">
        <v>1761</v>
      </c>
      <c r="N189" s="15" t="s">
        <v>1762</v>
      </c>
      <c r="O189" s="16"/>
      <c r="P189" s="14" t="s">
        <v>64</v>
      </c>
      <c r="Q189" s="17">
        <f t="shared" si="11"/>
        <v>4.1265474552956479E-3</v>
      </c>
      <c r="R189" s="11"/>
      <c r="S189" s="18">
        <f t="shared" si="9"/>
        <v>57.92</v>
      </c>
      <c r="T189" s="18">
        <f t="shared" si="10"/>
        <v>58.16</v>
      </c>
    </row>
    <row r="190" spans="1:20" ht="28.8" x14ac:dyDescent="0.3">
      <c r="A190" s="9" t="s">
        <v>850</v>
      </c>
      <c r="B190" s="10" t="s">
        <v>54</v>
      </c>
      <c r="C190" s="10" t="s">
        <v>533</v>
      </c>
      <c r="D190" s="10">
        <v>17</v>
      </c>
      <c r="E190" s="10" t="s">
        <v>103</v>
      </c>
      <c r="F190" s="11" t="s">
        <v>617</v>
      </c>
      <c r="G190" s="12" t="s">
        <v>851</v>
      </c>
      <c r="H190" s="11" t="s">
        <v>852</v>
      </c>
      <c r="I190" s="11" t="s">
        <v>60</v>
      </c>
      <c r="J190" s="10"/>
      <c r="K190" s="10" t="s">
        <v>61</v>
      </c>
      <c r="L190" s="13" t="s">
        <v>62</v>
      </c>
      <c r="M190" s="14" t="s">
        <v>583</v>
      </c>
      <c r="N190" s="15" t="s">
        <v>1755</v>
      </c>
      <c r="O190" s="16"/>
      <c r="P190" s="14" t="s">
        <v>64</v>
      </c>
      <c r="Q190" s="17">
        <f t="shared" si="11"/>
        <v>2.1211165431319963E-2</v>
      </c>
      <c r="R190" s="11"/>
      <c r="S190" s="18">
        <f t="shared" si="9"/>
        <v>124.13</v>
      </c>
      <c r="T190" s="18">
        <f t="shared" si="10"/>
        <v>126.82</v>
      </c>
    </row>
    <row r="191" spans="1:20" ht="28.8" x14ac:dyDescent="0.3">
      <c r="A191" s="9" t="s">
        <v>853</v>
      </c>
      <c r="B191" s="10" t="s">
        <v>54</v>
      </c>
      <c r="C191" s="10" t="s">
        <v>533</v>
      </c>
      <c r="D191" s="10">
        <v>17</v>
      </c>
      <c r="E191" s="10" t="s">
        <v>109</v>
      </c>
      <c r="F191" s="11" t="s">
        <v>717</v>
      </c>
      <c r="G191" s="12" t="s">
        <v>854</v>
      </c>
      <c r="H191" s="11" t="s">
        <v>855</v>
      </c>
      <c r="I191" s="11" t="s">
        <v>60</v>
      </c>
      <c r="J191" s="10"/>
      <c r="K191" s="10" t="s">
        <v>61</v>
      </c>
      <c r="L191" s="13" t="s">
        <v>62</v>
      </c>
      <c r="M191" s="14"/>
      <c r="N191" s="15" t="s">
        <v>856</v>
      </c>
      <c r="O191" s="16"/>
      <c r="P191" s="14" t="s">
        <v>64</v>
      </c>
      <c r="Q191" s="17">
        <f t="shared" si="11"/>
        <v>2.7786649632705124E-2</v>
      </c>
      <c r="R191" s="11"/>
      <c r="S191" s="18">
        <f t="shared" si="9"/>
        <v>30.44</v>
      </c>
      <c r="T191" s="18">
        <f t="shared" si="10"/>
        <v>31.31</v>
      </c>
    </row>
    <row r="192" spans="1:20" ht="28.8" x14ac:dyDescent="0.3">
      <c r="A192" s="9" t="s">
        <v>857</v>
      </c>
      <c r="B192" s="10" t="s">
        <v>54</v>
      </c>
      <c r="C192" s="10" t="s">
        <v>533</v>
      </c>
      <c r="D192" s="10">
        <v>17</v>
      </c>
      <c r="E192" s="10" t="s">
        <v>115</v>
      </c>
      <c r="F192" s="11" t="s">
        <v>579</v>
      </c>
      <c r="G192" s="12" t="s">
        <v>858</v>
      </c>
      <c r="H192" s="11" t="s">
        <v>723</v>
      </c>
      <c r="I192" s="11" t="s">
        <v>60</v>
      </c>
      <c r="J192" s="10"/>
      <c r="K192" s="10" t="s">
        <v>61</v>
      </c>
      <c r="L192" s="13" t="s">
        <v>62</v>
      </c>
      <c r="M192" s="14"/>
      <c r="N192" s="15" t="s">
        <v>722</v>
      </c>
      <c r="O192" s="16"/>
      <c r="P192" s="14" t="s">
        <v>64</v>
      </c>
      <c r="Q192" s="17">
        <f t="shared" si="11"/>
        <v>1.7985611510792049E-3</v>
      </c>
      <c r="R192" s="11"/>
      <c r="S192" s="18">
        <f t="shared" si="9"/>
        <v>66.599999999999994</v>
      </c>
      <c r="T192" s="18">
        <f t="shared" si="10"/>
        <v>66.72</v>
      </c>
    </row>
    <row r="193" spans="1:20" ht="28.8" x14ac:dyDescent="0.3">
      <c r="A193" s="9" t="s">
        <v>859</v>
      </c>
      <c r="B193" s="10" t="s">
        <v>54</v>
      </c>
      <c r="C193" s="10" t="s">
        <v>533</v>
      </c>
      <c r="D193" s="10">
        <v>17</v>
      </c>
      <c r="E193" s="10" t="s">
        <v>120</v>
      </c>
      <c r="F193" s="11" t="s">
        <v>796</v>
      </c>
      <c r="G193" s="12" t="s">
        <v>860</v>
      </c>
      <c r="H193" s="11" t="s">
        <v>861</v>
      </c>
      <c r="I193" s="11" t="s">
        <v>60</v>
      </c>
      <c r="J193" s="10"/>
      <c r="K193" s="10" t="s">
        <v>61</v>
      </c>
      <c r="L193" s="13" t="s">
        <v>62</v>
      </c>
      <c r="M193" s="14"/>
      <c r="N193" s="15" t="s">
        <v>862</v>
      </c>
      <c r="O193" s="16"/>
      <c r="P193" s="14" t="s">
        <v>64</v>
      </c>
      <c r="Q193" s="17">
        <f t="shared" si="11"/>
        <v>8.2593433821994723E-4</v>
      </c>
      <c r="R193" s="11"/>
      <c r="S193" s="18">
        <f t="shared" si="9"/>
        <v>145.17000000000002</v>
      </c>
      <c r="T193" s="18">
        <f t="shared" si="10"/>
        <v>145.29</v>
      </c>
    </row>
    <row r="194" spans="1:20" ht="28.8" x14ac:dyDescent="0.3">
      <c r="A194" s="9" t="s">
        <v>863</v>
      </c>
      <c r="B194" s="10" t="s">
        <v>54</v>
      </c>
      <c r="C194" s="10" t="s">
        <v>533</v>
      </c>
      <c r="D194" s="10">
        <v>17</v>
      </c>
      <c r="E194" s="10" t="s">
        <v>126</v>
      </c>
      <c r="F194" s="11" t="s">
        <v>612</v>
      </c>
      <c r="G194" s="12" t="s">
        <v>864</v>
      </c>
      <c r="H194" s="11" t="s">
        <v>865</v>
      </c>
      <c r="I194" s="11" t="s">
        <v>60</v>
      </c>
      <c r="J194" s="10"/>
      <c r="K194" s="10" t="s">
        <v>61</v>
      </c>
      <c r="L194" s="13" t="s">
        <v>62</v>
      </c>
      <c r="M194" s="14"/>
      <c r="N194" s="15" t="s">
        <v>802</v>
      </c>
      <c r="O194" s="16"/>
      <c r="P194" s="14" t="s">
        <v>64</v>
      </c>
      <c r="Q194" s="17">
        <f t="shared" si="11"/>
        <v>1.0812826249067828E-2</v>
      </c>
      <c r="R194" s="11"/>
      <c r="S194" s="18">
        <f t="shared" ref="S194:S257" si="12">IF(G194="","",IF(ISNUMBER(SEARCH(":",G194)),VALUE(LEFT(G194,SEARCH(":",G194)-1))*60+VALUE(MID(G194,SEARCH(":",G194)+1,99)),VALUE(G194)))</f>
        <v>26.53</v>
      </c>
      <c r="T194" s="18">
        <f t="shared" ref="T194:T257" si="13">IF(N194="","",IF(ISNUMBER(SEARCH(":",N194)),VALUE(LEFT(N194,SEARCH(":",N194)-1))*60+VALUE(MID(N194,SEARCH(":",N194)+1,99)),VALUE(N194)))</f>
        <v>26.82</v>
      </c>
    </row>
    <row r="195" spans="1:20" ht="28.8" x14ac:dyDescent="0.3">
      <c r="A195" s="9" t="s">
        <v>866</v>
      </c>
      <c r="B195" s="10" t="s">
        <v>54</v>
      </c>
      <c r="C195" s="10" t="s">
        <v>533</v>
      </c>
      <c r="D195" s="10">
        <v>17</v>
      </c>
      <c r="E195" s="10" t="s">
        <v>130</v>
      </c>
      <c r="F195" s="11" t="s">
        <v>617</v>
      </c>
      <c r="G195" s="12" t="s">
        <v>867</v>
      </c>
      <c r="H195" s="11" t="s">
        <v>499</v>
      </c>
      <c r="I195" s="11" t="s">
        <v>60</v>
      </c>
      <c r="J195" s="10"/>
      <c r="K195" s="10" t="s">
        <v>61</v>
      </c>
      <c r="L195" s="13" t="s">
        <v>62</v>
      </c>
      <c r="M195" s="14"/>
      <c r="N195" s="15" t="s">
        <v>868</v>
      </c>
      <c r="O195" s="16"/>
      <c r="P195" s="14" t="s">
        <v>64</v>
      </c>
      <c r="Q195" s="17">
        <f t="shared" si="11"/>
        <v>1.3215859030837022E-2</v>
      </c>
      <c r="R195" s="11"/>
      <c r="S195" s="18">
        <f t="shared" si="12"/>
        <v>58.24</v>
      </c>
      <c r="T195" s="18">
        <f t="shared" si="13"/>
        <v>59.02</v>
      </c>
    </row>
    <row r="196" spans="1:20" ht="28.8" x14ac:dyDescent="0.3">
      <c r="A196" s="9" t="s">
        <v>869</v>
      </c>
      <c r="B196" s="10" t="s">
        <v>54</v>
      </c>
      <c r="C196" s="10" t="s">
        <v>533</v>
      </c>
      <c r="D196" s="10">
        <v>17</v>
      </c>
      <c r="E196" s="10" t="s">
        <v>135</v>
      </c>
      <c r="F196" s="11" t="s">
        <v>807</v>
      </c>
      <c r="G196" s="12" t="s">
        <v>870</v>
      </c>
      <c r="H196" s="11" t="s">
        <v>189</v>
      </c>
      <c r="I196" s="11" t="s">
        <v>60</v>
      </c>
      <c r="J196" s="10"/>
      <c r="K196" s="10" t="s">
        <v>61</v>
      </c>
      <c r="L196" s="13" t="s">
        <v>62</v>
      </c>
      <c r="M196" s="14"/>
      <c r="N196" s="15" t="s">
        <v>871</v>
      </c>
      <c r="O196" s="16"/>
      <c r="P196" s="14" t="s">
        <v>64</v>
      </c>
      <c r="Q196" s="17">
        <f t="shared" si="11"/>
        <v>2.4277368940140596E-3</v>
      </c>
      <c r="R196" s="11"/>
      <c r="S196" s="18">
        <f t="shared" si="12"/>
        <v>131.49</v>
      </c>
      <c r="T196" s="18">
        <f t="shared" si="13"/>
        <v>131.81</v>
      </c>
    </row>
    <row r="197" spans="1:20" ht="28.8" x14ac:dyDescent="0.3">
      <c r="A197" s="9" t="s">
        <v>872</v>
      </c>
      <c r="B197" s="10" t="s">
        <v>54</v>
      </c>
      <c r="C197" s="10" t="s">
        <v>533</v>
      </c>
      <c r="D197" s="10">
        <v>17</v>
      </c>
      <c r="E197" s="10" t="s">
        <v>141</v>
      </c>
      <c r="F197" s="11" t="s">
        <v>612</v>
      </c>
      <c r="G197" s="12" t="s">
        <v>873</v>
      </c>
      <c r="H197" s="11" t="s">
        <v>874</v>
      </c>
      <c r="I197" s="11" t="s">
        <v>60</v>
      </c>
      <c r="J197" s="10"/>
      <c r="K197" s="10" t="s">
        <v>61</v>
      </c>
      <c r="L197" s="13" t="s">
        <v>62</v>
      </c>
      <c r="M197" s="14"/>
      <c r="N197" s="15" t="s">
        <v>875</v>
      </c>
      <c r="O197" s="16"/>
      <c r="P197" s="14" t="s">
        <v>64</v>
      </c>
      <c r="Q197" s="17">
        <f t="shared" ref="Q197:Q228" si="14">IF(OR(S197="",T197=""),"",(T197-S197)/T197)</f>
        <v>2.5950999355254665E-2</v>
      </c>
      <c r="R197" s="11"/>
      <c r="S197" s="18">
        <f t="shared" si="12"/>
        <v>60.43</v>
      </c>
      <c r="T197" s="18">
        <f t="shared" si="13"/>
        <v>62.04</v>
      </c>
    </row>
    <row r="198" spans="1:20" ht="28.8" x14ac:dyDescent="0.3">
      <c r="A198" s="9" t="s">
        <v>876</v>
      </c>
      <c r="B198" s="10" t="s">
        <v>54</v>
      </c>
      <c r="C198" s="10" t="s">
        <v>533</v>
      </c>
      <c r="D198" s="10">
        <v>17</v>
      </c>
      <c r="E198" s="10" t="s">
        <v>146</v>
      </c>
      <c r="F198" s="11" t="s">
        <v>612</v>
      </c>
      <c r="G198" s="12" t="s">
        <v>877</v>
      </c>
      <c r="H198" s="11" t="s">
        <v>865</v>
      </c>
      <c r="I198" s="11" t="s">
        <v>60</v>
      </c>
      <c r="J198" s="10"/>
      <c r="K198" s="10" t="s">
        <v>61</v>
      </c>
      <c r="L198" s="13" t="s">
        <v>62</v>
      </c>
      <c r="M198" s="14"/>
      <c r="N198" s="15" t="s">
        <v>878</v>
      </c>
      <c r="O198" s="16"/>
      <c r="P198" s="14" t="s">
        <v>64</v>
      </c>
      <c r="Q198" s="17">
        <f t="shared" si="14"/>
        <v>1.6268735407094951E-2</v>
      </c>
      <c r="R198" s="11"/>
      <c r="S198" s="18">
        <f t="shared" si="12"/>
        <v>130.61000000000001</v>
      </c>
      <c r="T198" s="18">
        <f t="shared" si="13"/>
        <v>132.77000000000001</v>
      </c>
    </row>
    <row r="199" spans="1:20" ht="28.8" x14ac:dyDescent="0.3">
      <c r="A199" s="9" t="s">
        <v>879</v>
      </c>
      <c r="B199" s="10" t="s">
        <v>54</v>
      </c>
      <c r="C199" s="10" t="s">
        <v>533</v>
      </c>
      <c r="D199" s="10">
        <v>17</v>
      </c>
      <c r="E199" s="10" t="s">
        <v>150</v>
      </c>
      <c r="F199" s="11" t="s">
        <v>880</v>
      </c>
      <c r="G199" s="12" t="s">
        <v>881</v>
      </c>
      <c r="H199" s="11" t="s">
        <v>882</v>
      </c>
      <c r="I199" s="11" t="s">
        <v>60</v>
      </c>
      <c r="J199" s="10"/>
      <c r="K199" s="10" t="s">
        <v>61</v>
      </c>
      <c r="L199" s="13" t="s">
        <v>62</v>
      </c>
      <c r="M199" s="14"/>
      <c r="N199" s="15" t="s">
        <v>883</v>
      </c>
      <c r="O199" s="16"/>
      <c r="P199" s="14" t="s">
        <v>64</v>
      </c>
      <c r="Q199" s="17">
        <f t="shared" si="14"/>
        <v>1.3962102863655646E-2</v>
      </c>
      <c r="R199" s="11"/>
      <c r="S199" s="18">
        <f t="shared" si="12"/>
        <v>276.84000000000003</v>
      </c>
      <c r="T199" s="18">
        <f t="shared" si="13"/>
        <v>280.76</v>
      </c>
    </row>
    <row r="200" spans="1:20" ht="28.8" x14ac:dyDescent="0.3">
      <c r="A200" s="9" t="s">
        <v>884</v>
      </c>
      <c r="B200" s="10" t="s">
        <v>54</v>
      </c>
      <c r="C200" s="10" t="s">
        <v>533</v>
      </c>
      <c r="D200" s="10">
        <v>18</v>
      </c>
      <c r="E200" s="10" t="s">
        <v>56</v>
      </c>
      <c r="F200" s="11" t="s">
        <v>822</v>
      </c>
      <c r="G200" s="12" t="s">
        <v>885</v>
      </c>
      <c r="H200" s="11" t="s">
        <v>59</v>
      </c>
      <c r="I200" s="11" t="s">
        <v>60</v>
      </c>
      <c r="J200" s="10"/>
      <c r="K200" s="10" t="s">
        <v>61</v>
      </c>
      <c r="L200" s="13" t="s">
        <v>62</v>
      </c>
      <c r="M200" s="14"/>
      <c r="N200" s="15" t="s">
        <v>338</v>
      </c>
      <c r="O200" s="16"/>
      <c r="P200" s="14" t="s">
        <v>64</v>
      </c>
      <c r="Q200" s="17">
        <f t="shared" si="14"/>
        <v>2.395209580838414E-3</v>
      </c>
      <c r="R200" s="11"/>
      <c r="S200" s="18">
        <f t="shared" si="12"/>
        <v>24.99</v>
      </c>
      <c r="T200" s="18">
        <f t="shared" si="13"/>
        <v>25.05</v>
      </c>
    </row>
    <row r="201" spans="1:20" ht="28.8" x14ac:dyDescent="0.3">
      <c r="A201" s="9" t="s">
        <v>886</v>
      </c>
      <c r="B201" s="10" t="s">
        <v>54</v>
      </c>
      <c r="C201" s="10" t="s">
        <v>533</v>
      </c>
      <c r="D201" s="10">
        <v>18</v>
      </c>
      <c r="E201" s="10" t="s">
        <v>66</v>
      </c>
      <c r="F201" s="11" t="s">
        <v>822</v>
      </c>
      <c r="G201" s="12" t="s">
        <v>887</v>
      </c>
      <c r="H201" s="11" t="s">
        <v>68</v>
      </c>
      <c r="I201" s="11" t="s">
        <v>60</v>
      </c>
      <c r="J201" s="10"/>
      <c r="K201" s="10" t="s">
        <v>61</v>
      </c>
      <c r="L201" s="13" t="s">
        <v>62</v>
      </c>
      <c r="M201" s="14"/>
      <c r="N201" s="15" t="s">
        <v>888</v>
      </c>
      <c r="O201" s="16"/>
      <c r="P201" s="14" t="s">
        <v>64</v>
      </c>
      <c r="Q201" s="17">
        <f t="shared" si="14"/>
        <v>3.1569173630455285E-3</v>
      </c>
      <c r="R201" s="11"/>
      <c r="S201" s="18">
        <f t="shared" si="12"/>
        <v>53.68</v>
      </c>
      <c r="T201" s="18">
        <f t="shared" si="13"/>
        <v>53.85</v>
      </c>
    </row>
    <row r="202" spans="1:20" ht="28.8" x14ac:dyDescent="0.3">
      <c r="A202" s="9" t="s">
        <v>889</v>
      </c>
      <c r="B202" s="10" t="s">
        <v>54</v>
      </c>
      <c r="C202" s="10" t="s">
        <v>533</v>
      </c>
      <c r="D202" s="10">
        <v>18</v>
      </c>
      <c r="E202" s="10" t="s">
        <v>70</v>
      </c>
      <c r="F202" s="11" t="s">
        <v>540</v>
      </c>
      <c r="G202" s="12" t="s">
        <v>890</v>
      </c>
      <c r="H202" s="11" t="s">
        <v>891</v>
      </c>
      <c r="I202" s="11" t="s">
        <v>60</v>
      </c>
      <c r="J202" s="10"/>
      <c r="K202" s="10" t="s">
        <v>61</v>
      </c>
      <c r="L202" s="13" t="s">
        <v>62</v>
      </c>
      <c r="M202" s="14"/>
      <c r="N202" s="15" t="s">
        <v>892</v>
      </c>
      <c r="O202" s="16"/>
      <c r="P202" s="14" t="s">
        <v>64</v>
      </c>
      <c r="Q202" s="17">
        <f t="shared" si="14"/>
        <v>2.4006834686031511E-2</v>
      </c>
      <c r="R202" s="11"/>
      <c r="S202" s="18">
        <f t="shared" si="12"/>
        <v>114.24000000000001</v>
      </c>
      <c r="T202" s="18">
        <f t="shared" si="13"/>
        <v>117.05</v>
      </c>
    </row>
    <row r="203" spans="1:20" ht="28.8" x14ac:dyDescent="0.3">
      <c r="A203" s="9" t="s">
        <v>893</v>
      </c>
      <c r="B203" s="10" t="s">
        <v>54</v>
      </c>
      <c r="C203" s="10" t="s">
        <v>533</v>
      </c>
      <c r="D203" s="10">
        <v>18</v>
      </c>
      <c r="E203" s="10" t="s">
        <v>75</v>
      </c>
      <c r="F203" s="11" t="s">
        <v>540</v>
      </c>
      <c r="G203" s="12" t="s">
        <v>894</v>
      </c>
      <c r="H203" s="11" t="s">
        <v>895</v>
      </c>
      <c r="I203" s="11" t="s">
        <v>60</v>
      </c>
      <c r="J203" s="10"/>
      <c r="K203" s="10" t="s">
        <v>61</v>
      </c>
      <c r="L203" s="13" t="s">
        <v>62</v>
      </c>
      <c r="M203" s="14" t="s">
        <v>837</v>
      </c>
      <c r="N203" s="15" t="s">
        <v>896</v>
      </c>
      <c r="O203" s="16"/>
      <c r="P203" s="14" t="s">
        <v>64</v>
      </c>
      <c r="Q203" s="17">
        <f t="shared" si="14"/>
        <v>4.6503171589026671E-2</v>
      </c>
      <c r="R203" s="11"/>
      <c r="S203" s="18">
        <f t="shared" si="12"/>
        <v>236</v>
      </c>
      <c r="T203" s="18">
        <f t="shared" si="13"/>
        <v>247.51</v>
      </c>
    </row>
    <row r="204" spans="1:20" ht="28.8" x14ac:dyDescent="0.3">
      <c r="A204" s="9" t="s">
        <v>897</v>
      </c>
      <c r="B204" s="10" t="s">
        <v>54</v>
      </c>
      <c r="C204" s="10" t="s">
        <v>533</v>
      </c>
      <c r="D204" s="10">
        <v>18</v>
      </c>
      <c r="E204" s="10" t="s">
        <v>80</v>
      </c>
      <c r="F204" s="11" t="s">
        <v>540</v>
      </c>
      <c r="G204" s="12" t="s">
        <v>898</v>
      </c>
      <c r="H204" s="11" t="s">
        <v>899</v>
      </c>
      <c r="I204" s="11" t="s">
        <v>60</v>
      </c>
      <c r="J204" s="10"/>
      <c r="K204" s="10" t="s">
        <v>61</v>
      </c>
      <c r="L204" s="13" t="s">
        <v>62</v>
      </c>
      <c r="M204" s="14"/>
      <c r="N204" s="15" t="s">
        <v>900</v>
      </c>
      <c r="O204" s="16"/>
      <c r="P204" s="14" t="s">
        <v>64</v>
      </c>
      <c r="Q204" s="17">
        <f t="shared" si="14"/>
        <v>1.4954563413670473E-2</v>
      </c>
      <c r="R204" s="11"/>
      <c r="S204" s="18">
        <f t="shared" si="12"/>
        <v>498.63</v>
      </c>
      <c r="T204" s="18">
        <f t="shared" si="13"/>
        <v>506.2</v>
      </c>
    </row>
    <row r="205" spans="1:20" ht="28.8" x14ac:dyDescent="0.3">
      <c r="A205" s="9" t="s">
        <v>901</v>
      </c>
      <c r="B205" s="10" t="s">
        <v>54</v>
      </c>
      <c r="C205" s="10" t="s">
        <v>533</v>
      </c>
      <c r="D205" s="10">
        <v>18</v>
      </c>
      <c r="E205" s="10" t="s">
        <v>86</v>
      </c>
      <c r="F205" s="11" t="s">
        <v>902</v>
      </c>
      <c r="G205" s="12" t="s">
        <v>903</v>
      </c>
      <c r="H205" s="11" t="s">
        <v>904</v>
      </c>
      <c r="I205" s="11" t="s">
        <v>60</v>
      </c>
      <c r="J205" s="10"/>
      <c r="K205" s="10" t="s">
        <v>61</v>
      </c>
      <c r="L205" s="13" t="s">
        <v>62</v>
      </c>
      <c r="M205" s="14"/>
      <c r="N205" s="15" t="s">
        <v>905</v>
      </c>
      <c r="O205" s="16"/>
      <c r="P205" s="14" t="s">
        <v>64</v>
      </c>
      <c r="Q205" s="17">
        <f t="shared" si="14"/>
        <v>6.113616415968099E-3</v>
      </c>
      <c r="R205" s="11"/>
      <c r="S205" s="18">
        <f t="shared" si="12"/>
        <v>985.17</v>
      </c>
      <c r="T205" s="18">
        <f t="shared" si="13"/>
        <v>991.23</v>
      </c>
    </row>
    <row r="206" spans="1:20" ht="28.8" x14ac:dyDescent="0.3">
      <c r="A206" s="9" t="s">
        <v>906</v>
      </c>
      <c r="B206" s="10" t="s">
        <v>54</v>
      </c>
      <c r="C206" s="10" t="s">
        <v>533</v>
      </c>
      <c r="D206" s="10">
        <v>18</v>
      </c>
      <c r="E206" s="10" t="s">
        <v>92</v>
      </c>
      <c r="F206" s="11" t="s">
        <v>907</v>
      </c>
      <c r="G206" s="12" t="s">
        <v>908</v>
      </c>
      <c r="H206" s="11" t="s">
        <v>909</v>
      </c>
      <c r="I206" s="11" t="s">
        <v>60</v>
      </c>
      <c r="J206" s="10"/>
      <c r="K206" s="10" t="s">
        <v>61</v>
      </c>
      <c r="L206" s="13" t="s">
        <v>62</v>
      </c>
      <c r="M206" s="14"/>
      <c r="N206" s="15" t="s">
        <v>910</v>
      </c>
      <c r="O206" s="16"/>
      <c r="P206" s="14" t="s">
        <v>64</v>
      </c>
      <c r="Q206" s="17">
        <f t="shared" si="14"/>
        <v>1.4249177932042402E-2</v>
      </c>
      <c r="R206" s="11"/>
      <c r="S206" s="18">
        <f t="shared" si="12"/>
        <v>26.98</v>
      </c>
      <c r="T206" s="18">
        <f t="shared" si="13"/>
        <v>27.37</v>
      </c>
    </row>
    <row r="207" spans="1:20" ht="28.8" x14ac:dyDescent="0.3">
      <c r="A207" s="9" t="s">
        <v>911</v>
      </c>
      <c r="B207" s="10" t="s">
        <v>54</v>
      </c>
      <c r="C207" s="10" t="s">
        <v>533</v>
      </c>
      <c r="D207" s="10">
        <v>18</v>
      </c>
      <c r="E207" s="10" t="s">
        <v>98</v>
      </c>
      <c r="F207" s="11" t="s">
        <v>583</v>
      </c>
      <c r="G207" s="12" t="s">
        <v>912</v>
      </c>
      <c r="H207" s="11" t="s">
        <v>227</v>
      </c>
      <c r="I207" s="11" t="s">
        <v>157</v>
      </c>
      <c r="J207" s="10" t="s">
        <v>158</v>
      </c>
      <c r="K207" s="10" t="s">
        <v>61</v>
      </c>
      <c r="L207" s="13" t="s">
        <v>62</v>
      </c>
      <c r="M207" s="19" t="s">
        <v>913</v>
      </c>
      <c r="N207" s="20" t="s">
        <v>914</v>
      </c>
      <c r="O207" s="21"/>
      <c r="P207" s="19" t="s">
        <v>213</v>
      </c>
      <c r="Q207" s="17">
        <f t="shared" si="14"/>
        <v>1.1547742157876623E-2</v>
      </c>
      <c r="R207" s="11" t="s">
        <v>915</v>
      </c>
      <c r="S207" s="18">
        <f t="shared" si="12"/>
        <v>57.35</v>
      </c>
      <c r="T207" s="18">
        <f t="shared" si="13"/>
        <v>58.02</v>
      </c>
    </row>
    <row r="208" spans="1:20" ht="28.8" x14ac:dyDescent="0.3">
      <c r="A208" s="9" t="s">
        <v>916</v>
      </c>
      <c r="B208" s="10" t="s">
        <v>54</v>
      </c>
      <c r="C208" s="10" t="s">
        <v>533</v>
      </c>
      <c r="D208" s="10">
        <v>18</v>
      </c>
      <c r="E208" s="10" t="s">
        <v>103</v>
      </c>
      <c r="F208" s="11" t="s">
        <v>583</v>
      </c>
      <c r="G208" s="12" t="s">
        <v>917</v>
      </c>
      <c r="H208" s="11" t="s">
        <v>217</v>
      </c>
      <c r="I208" s="11" t="s">
        <v>157</v>
      </c>
      <c r="J208" s="10" t="s">
        <v>158</v>
      </c>
      <c r="K208" s="10" t="s">
        <v>61</v>
      </c>
      <c r="L208" s="13" t="s">
        <v>62</v>
      </c>
      <c r="M208" s="19" t="s">
        <v>918</v>
      </c>
      <c r="N208" s="20" t="s">
        <v>919</v>
      </c>
      <c r="O208" s="21"/>
      <c r="P208" s="19" t="s">
        <v>213</v>
      </c>
      <c r="Q208" s="17">
        <f t="shared" si="14"/>
        <v>8.4411486273272898E-3</v>
      </c>
      <c r="R208" s="11" t="s">
        <v>920</v>
      </c>
      <c r="S208" s="18">
        <f t="shared" si="12"/>
        <v>125.69</v>
      </c>
      <c r="T208" s="18">
        <f t="shared" si="13"/>
        <v>126.76</v>
      </c>
    </row>
    <row r="209" spans="1:20" ht="28.8" x14ac:dyDescent="0.3">
      <c r="A209" s="9" t="s">
        <v>921</v>
      </c>
      <c r="B209" s="10" t="s">
        <v>54</v>
      </c>
      <c r="C209" s="10" t="s">
        <v>533</v>
      </c>
      <c r="D209" s="10">
        <v>18</v>
      </c>
      <c r="E209" s="10" t="s">
        <v>109</v>
      </c>
      <c r="F209" s="11" t="s">
        <v>717</v>
      </c>
      <c r="G209" s="12" t="s">
        <v>113</v>
      </c>
      <c r="H209" s="11" t="s">
        <v>922</v>
      </c>
      <c r="I209" s="11" t="s">
        <v>60</v>
      </c>
      <c r="J209" s="10"/>
      <c r="K209" s="10" t="s">
        <v>61</v>
      </c>
      <c r="L209" s="13" t="s">
        <v>62</v>
      </c>
      <c r="M209" s="14"/>
      <c r="N209" s="15" t="s">
        <v>923</v>
      </c>
      <c r="O209" s="16"/>
      <c r="P209" s="14" t="s">
        <v>64</v>
      </c>
      <c r="Q209" s="17">
        <f t="shared" si="14"/>
        <v>2.3241006049028984E-2</v>
      </c>
      <c r="R209" s="11"/>
      <c r="S209" s="18">
        <f t="shared" si="12"/>
        <v>30.68</v>
      </c>
      <c r="T209" s="18">
        <f t="shared" si="13"/>
        <v>31.41</v>
      </c>
    </row>
    <row r="210" spans="1:20" ht="28.8" x14ac:dyDescent="0.3">
      <c r="A210" s="9" t="s">
        <v>924</v>
      </c>
      <c r="B210" s="10" t="s">
        <v>54</v>
      </c>
      <c r="C210" s="10" t="s">
        <v>533</v>
      </c>
      <c r="D210" s="10">
        <v>18</v>
      </c>
      <c r="E210" s="10" t="s">
        <v>115</v>
      </c>
      <c r="F210" s="11" t="s">
        <v>717</v>
      </c>
      <c r="G210" s="12" t="s">
        <v>858</v>
      </c>
      <c r="H210" s="11" t="s">
        <v>72</v>
      </c>
      <c r="I210" s="11" t="s">
        <v>60</v>
      </c>
      <c r="J210" s="10"/>
      <c r="K210" s="10" t="s">
        <v>61</v>
      </c>
      <c r="L210" s="13" t="s">
        <v>62</v>
      </c>
      <c r="M210" s="14" t="s">
        <v>1763</v>
      </c>
      <c r="N210" s="15" t="s">
        <v>1764</v>
      </c>
      <c r="O210" s="16"/>
      <c r="P210" s="14" t="s">
        <v>64</v>
      </c>
      <c r="Q210" s="17">
        <f t="shared" si="14"/>
        <v>1.1282660332541643E-2</v>
      </c>
      <c r="R210" s="11"/>
      <c r="S210" s="18">
        <f t="shared" si="12"/>
        <v>66.599999999999994</v>
      </c>
      <c r="T210" s="18">
        <f t="shared" si="13"/>
        <v>67.36</v>
      </c>
    </row>
    <row r="211" spans="1:20" ht="28.8" x14ac:dyDescent="0.3">
      <c r="A211" s="9" t="s">
        <v>925</v>
      </c>
      <c r="B211" s="10" t="s">
        <v>54</v>
      </c>
      <c r="C211" s="10" t="s">
        <v>533</v>
      </c>
      <c r="D211" s="10">
        <v>18</v>
      </c>
      <c r="E211" s="10" t="s">
        <v>120</v>
      </c>
      <c r="F211" s="11" t="s">
        <v>579</v>
      </c>
      <c r="G211" s="12" t="s">
        <v>926</v>
      </c>
      <c r="H211" s="11" t="s">
        <v>927</v>
      </c>
      <c r="I211" s="11" t="s">
        <v>60</v>
      </c>
      <c r="J211" s="10"/>
      <c r="K211" s="10" t="s">
        <v>61</v>
      </c>
      <c r="L211" s="13" t="s">
        <v>62</v>
      </c>
      <c r="M211" s="14"/>
      <c r="N211" s="15" t="s">
        <v>928</v>
      </c>
      <c r="O211" s="16"/>
      <c r="P211" s="14" t="s">
        <v>64</v>
      </c>
      <c r="Q211" s="17">
        <f t="shared" si="14"/>
        <v>1.8633540372670745E-2</v>
      </c>
      <c r="R211" s="11"/>
      <c r="S211" s="18">
        <f t="shared" si="12"/>
        <v>145.36000000000001</v>
      </c>
      <c r="T211" s="18">
        <f t="shared" si="13"/>
        <v>148.12</v>
      </c>
    </row>
    <row r="212" spans="1:20" ht="28.8" x14ac:dyDescent="0.3">
      <c r="A212" s="9" t="s">
        <v>929</v>
      </c>
      <c r="B212" s="10" t="s">
        <v>54</v>
      </c>
      <c r="C212" s="10" t="s">
        <v>533</v>
      </c>
      <c r="D212" s="10">
        <v>18</v>
      </c>
      <c r="E212" s="10" t="s">
        <v>126</v>
      </c>
      <c r="F212" s="11" t="s">
        <v>822</v>
      </c>
      <c r="G212" s="12" t="s">
        <v>930</v>
      </c>
      <c r="H212" s="11" t="s">
        <v>68</v>
      </c>
      <c r="I212" s="11" t="s">
        <v>60</v>
      </c>
      <c r="J212" s="10"/>
      <c r="K212" s="10" t="s">
        <v>61</v>
      </c>
      <c r="L212" s="13" t="s">
        <v>62</v>
      </c>
      <c r="M212" s="14"/>
      <c r="N212" s="15" t="s">
        <v>864</v>
      </c>
      <c r="O212" s="16"/>
      <c r="P212" s="14" t="s">
        <v>64</v>
      </c>
      <c r="Q212" s="17">
        <f t="shared" si="14"/>
        <v>2.1485111194873736E-2</v>
      </c>
      <c r="R212" s="11"/>
      <c r="S212" s="18">
        <f t="shared" si="12"/>
        <v>25.96</v>
      </c>
      <c r="T212" s="18">
        <f t="shared" si="13"/>
        <v>26.53</v>
      </c>
    </row>
    <row r="213" spans="1:20" ht="28.8" x14ac:dyDescent="0.3">
      <c r="A213" s="9" t="s">
        <v>931</v>
      </c>
      <c r="B213" s="10" t="s">
        <v>54</v>
      </c>
      <c r="C213" s="10" t="s">
        <v>533</v>
      </c>
      <c r="D213" s="10">
        <v>18</v>
      </c>
      <c r="E213" s="10" t="s">
        <v>130</v>
      </c>
      <c r="F213" s="11" t="s">
        <v>918</v>
      </c>
      <c r="G213" s="12" t="s">
        <v>932</v>
      </c>
      <c r="H213" s="11" t="s">
        <v>558</v>
      </c>
      <c r="I213" s="11" t="s">
        <v>60</v>
      </c>
      <c r="J213" s="10"/>
      <c r="K213" s="10" t="s">
        <v>61</v>
      </c>
      <c r="L213" s="13" t="s">
        <v>62</v>
      </c>
      <c r="M213" s="14"/>
      <c r="N213" s="15" t="s">
        <v>933</v>
      </c>
      <c r="O213" s="16"/>
      <c r="P213" s="14" t="s">
        <v>64</v>
      </c>
      <c r="Q213" s="17">
        <f t="shared" si="14"/>
        <v>1.0378305992634826E-2</v>
      </c>
      <c r="R213" s="11"/>
      <c r="S213" s="18">
        <f t="shared" si="12"/>
        <v>59.12</v>
      </c>
      <c r="T213" s="18">
        <f t="shared" si="13"/>
        <v>59.74</v>
      </c>
    </row>
    <row r="214" spans="1:20" ht="28.8" x14ac:dyDescent="0.3">
      <c r="A214" s="9" t="s">
        <v>934</v>
      </c>
      <c r="B214" s="10" t="s">
        <v>54</v>
      </c>
      <c r="C214" s="10" t="s">
        <v>533</v>
      </c>
      <c r="D214" s="10">
        <v>18</v>
      </c>
      <c r="E214" s="10" t="s">
        <v>135</v>
      </c>
      <c r="F214" s="11" t="s">
        <v>935</v>
      </c>
      <c r="G214" s="12" t="s">
        <v>936</v>
      </c>
      <c r="H214" s="11" t="s">
        <v>937</v>
      </c>
      <c r="I214" s="11" t="s">
        <v>60</v>
      </c>
      <c r="J214" s="10"/>
      <c r="K214" s="10" t="s">
        <v>61</v>
      </c>
      <c r="L214" s="13" t="s">
        <v>62</v>
      </c>
      <c r="M214" s="14"/>
      <c r="N214" s="15" t="s">
        <v>938</v>
      </c>
      <c r="O214" s="16"/>
      <c r="P214" s="14" t="s">
        <v>64</v>
      </c>
      <c r="Q214" s="17">
        <f t="shared" si="14"/>
        <v>5.7890384181639113E-3</v>
      </c>
      <c r="R214" s="11"/>
      <c r="S214" s="18">
        <f t="shared" si="12"/>
        <v>132.24</v>
      </c>
      <c r="T214" s="18">
        <f t="shared" si="13"/>
        <v>133.01</v>
      </c>
    </row>
    <row r="215" spans="1:20" ht="28.8" x14ac:dyDescent="0.3">
      <c r="A215" s="9" t="s">
        <v>939</v>
      </c>
      <c r="B215" s="10" t="s">
        <v>54</v>
      </c>
      <c r="C215" s="10" t="s">
        <v>533</v>
      </c>
      <c r="D215" s="10">
        <v>18</v>
      </c>
      <c r="E215" s="10" t="s">
        <v>141</v>
      </c>
      <c r="F215" s="11" t="s">
        <v>583</v>
      </c>
      <c r="G215" s="12" t="s">
        <v>940</v>
      </c>
      <c r="H215" s="11" t="s">
        <v>227</v>
      </c>
      <c r="I215" s="11" t="s">
        <v>157</v>
      </c>
      <c r="J215" s="10" t="s">
        <v>158</v>
      </c>
      <c r="K215" s="10" t="s">
        <v>61</v>
      </c>
      <c r="L215" s="13" t="s">
        <v>62</v>
      </c>
      <c r="M215" s="19" t="s">
        <v>918</v>
      </c>
      <c r="N215" s="20" t="s">
        <v>742</v>
      </c>
      <c r="O215" s="21"/>
      <c r="P215" s="19" t="s">
        <v>213</v>
      </c>
      <c r="Q215" s="17">
        <f t="shared" si="14"/>
        <v>6.0270402345658485E-3</v>
      </c>
      <c r="R215" s="11" t="s">
        <v>941</v>
      </c>
      <c r="S215" s="18">
        <f t="shared" si="12"/>
        <v>61.02</v>
      </c>
      <c r="T215" s="18">
        <f t="shared" si="13"/>
        <v>61.39</v>
      </c>
    </row>
    <row r="216" spans="1:20" ht="28.8" x14ac:dyDescent="0.3">
      <c r="A216" s="9" t="s">
        <v>942</v>
      </c>
      <c r="B216" s="10" t="s">
        <v>54</v>
      </c>
      <c r="C216" s="10" t="s">
        <v>533</v>
      </c>
      <c r="D216" s="10">
        <v>18</v>
      </c>
      <c r="E216" s="10" t="s">
        <v>146</v>
      </c>
      <c r="F216" s="11" t="s">
        <v>943</v>
      </c>
      <c r="G216" s="12" t="s">
        <v>944</v>
      </c>
      <c r="H216" s="11" t="s">
        <v>945</v>
      </c>
      <c r="I216" s="11" t="s">
        <v>60</v>
      </c>
      <c r="J216" s="10"/>
      <c r="K216" s="10" t="s">
        <v>61</v>
      </c>
      <c r="L216" s="13" t="s">
        <v>62</v>
      </c>
      <c r="M216" s="14"/>
      <c r="N216" s="15" t="s">
        <v>946</v>
      </c>
      <c r="O216" s="16"/>
      <c r="P216" s="14" t="s">
        <v>64</v>
      </c>
      <c r="Q216" s="17">
        <f t="shared" si="14"/>
        <v>1.2573909138537584E-2</v>
      </c>
      <c r="R216" s="11"/>
      <c r="S216" s="18">
        <f t="shared" si="12"/>
        <v>131.93</v>
      </c>
      <c r="T216" s="18">
        <f t="shared" si="13"/>
        <v>133.61000000000001</v>
      </c>
    </row>
    <row r="217" spans="1:20" ht="28.8" x14ac:dyDescent="0.3">
      <c r="A217" s="9" t="s">
        <v>947</v>
      </c>
      <c r="B217" s="10" t="s">
        <v>54</v>
      </c>
      <c r="C217" s="10" t="s">
        <v>533</v>
      </c>
      <c r="D217" s="10">
        <v>18</v>
      </c>
      <c r="E217" s="10" t="s">
        <v>150</v>
      </c>
      <c r="F217" s="11" t="s">
        <v>473</v>
      </c>
      <c r="G217" s="12" t="s">
        <v>881</v>
      </c>
      <c r="H217" s="11"/>
      <c r="I217" s="11" t="s">
        <v>60</v>
      </c>
      <c r="J217" s="10"/>
      <c r="K217" s="10" t="s">
        <v>61</v>
      </c>
      <c r="L217" s="13" t="s">
        <v>475</v>
      </c>
      <c r="M217" s="22"/>
      <c r="N217" s="23" t="s">
        <v>948</v>
      </c>
      <c r="O217" s="24"/>
      <c r="P217" s="22" t="s">
        <v>477</v>
      </c>
      <c r="Q217" s="17">
        <f t="shared" si="14"/>
        <v>2.7736752998810624E-3</v>
      </c>
      <c r="R217" s="11" t="s">
        <v>478</v>
      </c>
      <c r="S217" s="18">
        <f t="shared" si="12"/>
        <v>276.84000000000003</v>
      </c>
      <c r="T217" s="18">
        <f t="shared" si="13"/>
        <v>277.61</v>
      </c>
    </row>
    <row r="218" spans="1:20" ht="28.8" x14ac:dyDescent="0.3">
      <c r="A218" s="9" t="s">
        <v>949</v>
      </c>
      <c r="B218" s="10" t="s">
        <v>950</v>
      </c>
      <c r="C218" s="10" t="s">
        <v>55</v>
      </c>
      <c r="D218" s="10">
        <v>13</v>
      </c>
      <c r="E218" s="10" t="s">
        <v>56</v>
      </c>
      <c r="F218" s="11" t="s">
        <v>57</v>
      </c>
      <c r="G218" s="12" t="s">
        <v>951</v>
      </c>
      <c r="H218" s="11" t="s">
        <v>952</v>
      </c>
      <c r="I218" s="11" t="s">
        <v>953</v>
      </c>
      <c r="J218" s="10"/>
      <c r="K218" s="10" t="s">
        <v>61</v>
      </c>
      <c r="L218" s="13" t="s">
        <v>62</v>
      </c>
      <c r="M218" s="14" t="s">
        <v>310</v>
      </c>
      <c r="N218" s="15" t="s">
        <v>954</v>
      </c>
      <c r="O218" s="16"/>
      <c r="P218" s="14" t="s">
        <v>64</v>
      </c>
      <c r="Q218" s="17">
        <f t="shared" si="14"/>
        <v>3.280000000000001E-2</v>
      </c>
      <c r="R218" s="11"/>
      <c r="S218" s="18">
        <f t="shared" si="12"/>
        <v>24.18</v>
      </c>
      <c r="T218" s="18">
        <f t="shared" si="13"/>
        <v>25</v>
      </c>
    </row>
    <row r="219" spans="1:20" ht="28.8" x14ac:dyDescent="0.3">
      <c r="A219" s="9" t="s">
        <v>955</v>
      </c>
      <c r="B219" s="10" t="s">
        <v>950</v>
      </c>
      <c r="C219" s="10" t="s">
        <v>55</v>
      </c>
      <c r="D219" s="10">
        <v>13</v>
      </c>
      <c r="E219" s="10" t="s">
        <v>66</v>
      </c>
      <c r="F219" s="11" t="s">
        <v>57</v>
      </c>
      <c r="G219" s="12" t="s">
        <v>956</v>
      </c>
      <c r="H219" s="11" t="s">
        <v>957</v>
      </c>
      <c r="I219" s="11" t="s">
        <v>953</v>
      </c>
      <c r="J219" s="10"/>
      <c r="K219" s="10" t="s">
        <v>61</v>
      </c>
      <c r="L219" s="13" t="s">
        <v>62</v>
      </c>
      <c r="M219" s="14" t="s">
        <v>183</v>
      </c>
      <c r="N219" s="15" t="s">
        <v>958</v>
      </c>
      <c r="O219" s="16"/>
      <c r="P219" s="14" t="s">
        <v>64</v>
      </c>
      <c r="Q219" s="17">
        <f t="shared" si="14"/>
        <v>6.6871498283029018E-2</v>
      </c>
      <c r="R219" s="11"/>
      <c r="S219" s="18">
        <f t="shared" si="12"/>
        <v>51.63</v>
      </c>
      <c r="T219" s="18">
        <f t="shared" si="13"/>
        <v>55.33</v>
      </c>
    </row>
    <row r="220" spans="1:20" ht="28.8" x14ac:dyDescent="0.3">
      <c r="A220" s="9" t="s">
        <v>959</v>
      </c>
      <c r="B220" s="10" t="s">
        <v>950</v>
      </c>
      <c r="C220" s="10" t="s">
        <v>55</v>
      </c>
      <c r="D220" s="10">
        <v>13</v>
      </c>
      <c r="E220" s="10" t="s">
        <v>70</v>
      </c>
      <c r="F220" s="11" t="s">
        <v>57</v>
      </c>
      <c r="G220" s="12" t="s">
        <v>960</v>
      </c>
      <c r="H220" s="11" t="s">
        <v>961</v>
      </c>
      <c r="I220" s="11" t="s">
        <v>953</v>
      </c>
      <c r="J220" s="10"/>
      <c r="K220" s="10" t="s">
        <v>61</v>
      </c>
      <c r="L220" s="13" t="s">
        <v>62</v>
      </c>
      <c r="M220" s="14" t="s">
        <v>81</v>
      </c>
      <c r="N220" s="15" t="s">
        <v>962</v>
      </c>
      <c r="O220" s="16"/>
      <c r="P220" s="14" t="s">
        <v>64</v>
      </c>
      <c r="Q220" s="17">
        <f t="shared" si="14"/>
        <v>6.8687707641196097E-2</v>
      </c>
      <c r="R220" s="11"/>
      <c r="S220" s="18">
        <f t="shared" si="12"/>
        <v>112.13</v>
      </c>
      <c r="T220" s="18">
        <f t="shared" si="13"/>
        <v>120.4</v>
      </c>
    </row>
    <row r="221" spans="1:20" ht="28.8" x14ac:dyDescent="0.3">
      <c r="A221" s="9" t="s">
        <v>963</v>
      </c>
      <c r="B221" s="10" t="s">
        <v>950</v>
      </c>
      <c r="C221" s="10" t="s">
        <v>55</v>
      </c>
      <c r="D221" s="10">
        <v>13</v>
      </c>
      <c r="E221" s="10" t="s">
        <v>75</v>
      </c>
      <c r="F221" s="11" t="s">
        <v>57</v>
      </c>
      <c r="G221" s="12" t="s">
        <v>964</v>
      </c>
      <c r="H221" s="11" t="s">
        <v>965</v>
      </c>
      <c r="I221" s="11" t="s">
        <v>953</v>
      </c>
      <c r="J221" s="10"/>
      <c r="K221" s="10" t="s">
        <v>61</v>
      </c>
      <c r="L221" s="13" t="s">
        <v>62</v>
      </c>
      <c r="M221" s="14" t="s">
        <v>81</v>
      </c>
      <c r="N221" s="15" t="s">
        <v>966</v>
      </c>
      <c r="O221" s="16"/>
      <c r="P221" s="14" t="s">
        <v>64</v>
      </c>
      <c r="Q221" s="17">
        <f t="shared" si="14"/>
        <v>5.259408761723848E-2</v>
      </c>
      <c r="R221" s="11"/>
      <c r="S221" s="18">
        <f t="shared" si="12"/>
        <v>239.4</v>
      </c>
      <c r="T221" s="18">
        <f t="shared" si="13"/>
        <v>252.69</v>
      </c>
    </row>
    <row r="222" spans="1:20" ht="28.8" x14ac:dyDescent="0.3">
      <c r="A222" s="9" t="s">
        <v>967</v>
      </c>
      <c r="B222" s="10" t="s">
        <v>950</v>
      </c>
      <c r="C222" s="10" t="s">
        <v>55</v>
      </c>
      <c r="D222" s="10">
        <v>13</v>
      </c>
      <c r="E222" s="10" t="s">
        <v>80</v>
      </c>
      <c r="F222" s="11" t="s">
        <v>81</v>
      </c>
      <c r="G222" s="12" t="s">
        <v>968</v>
      </c>
      <c r="H222" s="11" t="s">
        <v>969</v>
      </c>
      <c r="I222" s="11" t="s">
        <v>953</v>
      </c>
      <c r="J222" s="10"/>
      <c r="K222" s="10" t="s">
        <v>61</v>
      </c>
      <c r="L222" s="13" t="s">
        <v>62</v>
      </c>
      <c r="M222" s="14"/>
      <c r="N222" s="15" t="s">
        <v>970</v>
      </c>
      <c r="O222" s="16"/>
      <c r="P222" s="14" t="s">
        <v>64</v>
      </c>
      <c r="Q222" s="17">
        <f t="shared" si="14"/>
        <v>2.8339626874042099E-2</v>
      </c>
      <c r="R222" s="11"/>
      <c r="S222" s="18">
        <f t="shared" si="12"/>
        <v>519.78</v>
      </c>
      <c r="T222" s="18">
        <f t="shared" si="13"/>
        <v>534.94000000000005</v>
      </c>
    </row>
    <row r="223" spans="1:20" ht="28.8" x14ac:dyDescent="0.3">
      <c r="A223" s="9" t="s">
        <v>971</v>
      </c>
      <c r="B223" s="10" t="s">
        <v>950</v>
      </c>
      <c r="C223" s="10" t="s">
        <v>55</v>
      </c>
      <c r="D223" s="10">
        <v>13</v>
      </c>
      <c r="E223" s="10" t="s">
        <v>86</v>
      </c>
      <c r="F223" s="11" t="s">
        <v>81</v>
      </c>
      <c r="G223" s="12" t="s">
        <v>972</v>
      </c>
      <c r="H223" s="11" t="s">
        <v>973</v>
      </c>
      <c r="I223" s="11" t="s">
        <v>953</v>
      </c>
      <c r="J223" s="10"/>
      <c r="K223" s="10" t="s">
        <v>61</v>
      </c>
      <c r="L223" s="13" t="s">
        <v>62</v>
      </c>
      <c r="M223" s="14"/>
      <c r="N223" s="15" t="s">
        <v>974</v>
      </c>
      <c r="O223" s="16"/>
      <c r="P223" s="14" t="s">
        <v>64</v>
      </c>
      <c r="Q223" s="17">
        <f t="shared" si="14"/>
        <v>2.1881880902285083E-2</v>
      </c>
      <c r="R223" s="11"/>
      <c r="S223" s="18">
        <f t="shared" si="12"/>
        <v>999.49</v>
      </c>
      <c r="T223" s="18">
        <f t="shared" si="13"/>
        <v>1021.85</v>
      </c>
    </row>
    <row r="224" spans="1:20" ht="28.8" x14ac:dyDescent="0.3">
      <c r="A224" s="9" t="s">
        <v>975</v>
      </c>
      <c r="B224" s="10" t="s">
        <v>950</v>
      </c>
      <c r="C224" s="10" t="s">
        <v>55</v>
      </c>
      <c r="D224" s="10">
        <v>13</v>
      </c>
      <c r="E224" s="10" t="s">
        <v>92</v>
      </c>
      <c r="F224" s="11" t="s">
        <v>57</v>
      </c>
      <c r="G224" s="12" t="s">
        <v>498</v>
      </c>
      <c r="H224" s="11" t="s">
        <v>965</v>
      </c>
      <c r="I224" s="11" t="s">
        <v>953</v>
      </c>
      <c r="J224" s="10"/>
      <c r="K224" s="10" t="s">
        <v>61</v>
      </c>
      <c r="L224" s="13" t="s">
        <v>62</v>
      </c>
      <c r="M224" s="14"/>
      <c r="N224" s="15" t="s">
        <v>976</v>
      </c>
      <c r="O224" s="16"/>
      <c r="P224" s="14" t="s">
        <v>64</v>
      </c>
      <c r="Q224" s="17">
        <f t="shared" si="14"/>
        <v>1.4245014245014195E-2</v>
      </c>
      <c r="R224" s="11"/>
      <c r="S224" s="18">
        <f t="shared" si="12"/>
        <v>27.68</v>
      </c>
      <c r="T224" s="18">
        <f t="shared" si="13"/>
        <v>28.08</v>
      </c>
    </row>
    <row r="225" spans="1:20" ht="28.8" x14ac:dyDescent="0.3">
      <c r="A225" s="9" t="s">
        <v>977</v>
      </c>
      <c r="B225" s="10" t="s">
        <v>950</v>
      </c>
      <c r="C225" s="10" t="s">
        <v>55</v>
      </c>
      <c r="D225" s="10">
        <v>13</v>
      </c>
      <c r="E225" s="10" t="s">
        <v>98</v>
      </c>
      <c r="F225" s="11" t="s">
        <v>978</v>
      </c>
      <c r="G225" s="12" t="s">
        <v>642</v>
      </c>
      <c r="H225" s="11" t="s">
        <v>979</v>
      </c>
      <c r="I225" s="11" t="s">
        <v>953</v>
      </c>
      <c r="J225" s="10"/>
      <c r="K225" s="10" t="s">
        <v>61</v>
      </c>
      <c r="L225" s="13" t="s">
        <v>62</v>
      </c>
      <c r="M225" s="14"/>
      <c r="N225" s="15" t="s">
        <v>980</v>
      </c>
      <c r="O225" s="16"/>
      <c r="P225" s="14" t="s">
        <v>64</v>
      </c>
      <c r="Q225" s="17">
        <f t="shared" si="14"/>
        <v>7.8947368421052114E-3</v>
      </c>
      <c r="R225" s="11"/>
      <c r="S225" s="18">
        <f t="shared" si="12"/>
        <v>60.32</v>
      </c>
      <c r="T225" s="18">
        <f t="shared" si="13"/>
        <v>60.8</v>
      </c>
    </row>
    <row r="226" spans="1:20" ht="28.8" x14ac:dyDescent="0.3">
      <c r="A226" s="9" t="s">
        <v>981</v>
      </c>
      <c r="B226" s="10" t="s">
        <v>950</v>
      </c>
      <c r="C226" s="10" t="s">
        <v>55</v>
      </c>
      <c r="D226" s="10">
        <v>13</v>
      </c>
      <c r="E226" s="10" t="s">
        <v>103</v>
      </c>
      <c r="F226" s="11" t="s">
        <v>982</v>
      </c>
      <c r="G226" s="12" t="s">
        <v>983</v>
      </c>
      <c r="H226" s="11" t="s">
        <v>984</v>
      </c>
      <c r="I226" s="11" t="s">
        <v>953</v>
      </c>
      <c r="J226" s="10"/>
      <c r="K226" s="10" t="s">
        <v>61</v>
      </c>
      <c r="L226" s="13" t="s">
        <v>62</v>
      </c>
      <c r="M226" s="14"/>
      <c r="N226" s="15" t="s">
        <v>985</v>
      </c>
      <c r="O226" s="16"/>
      <c r="P226" s="14" t="s">
        <v>64</v>
      </c>
      <c r="Q226" s="17">
        <f t="shared" si="14"/>
        <v>8.3659933675008565E-3</v>
      </c>
      <c r="R226" s="11"/>
      <c r="S226" s="18">
        <f t="shared" si="12"/>
        <v>131.57</v>
      </c>
      <c r="T226" s="18">
        <f t="shared" si="13"/>
        <v>132.68</v>
      </c>
    </row>
    <row r="227" spans="1:20" ht="28.8" x14ac:dyDescent="0.3">
      <c r="A227" s="9" t="s">
        <v>986</v>
      </c>
      <c r="B227" s="10" t="s">
        <v>950</v>
      </c>
      <c r="C227" s="10" t="s">
        <v>55</v>
      </c>
      <c r="D227" s="10">
        <v>13</v>
      </c>
      <c r="E227" s="10" t="s">
        <v>109</v>
      </c>
      <c r="F227" s="11" t="s">
        <v>987</v>
      </c>
      <c r="G227" s="12" t="s">
        <v>988</v>
      </c>
      <c r="H227" s="11" t="s">
        <v>989</v>
      </c>
      <c r="I227" s="11" t="s">
        <v>953</v>
      </c>
      <c r="J227" s="10"/>
      <c r="K227" s="10" t="s">
        <v>61</v>
      </c>
      <c r="L227" s="13" t="s">
        <v>62</v>
      </c>
      <c r="M227" s="14"/>
      <c r="N227" s="15" t="s">
        <v>990</v>
      </c>
      <c r="O227" s="16"/>
      <c r="P227" s="14" t="s">
        <v>64</v>
      </c>
      <c r="Q227" s="17">
        <f t="shared" si="14"/>
        <v>7.648183556405304E-3</v>
      </c>
      <c r="R227" s="11"/>
      <c r="S227" s="18">
        <f t="shared" si="12"/>
        <v>31.14</v>
      </c>
      <c r="T227" s="18">
        <f t="shared" si="13"/>
        <v>31.38</v>
      </c>
    </row>
    <row r="228" spans="1:20" ht="28.8" x14ac:dyDescent="0.3">
      <c r="A228" s="9" t="s">
        <v>991</v>
      </c>
      <c r="B228" s="10" t="s">
        <v>950</v>
      </c>
      <c r="C228" s="10" t="s">
        <v>55</v>
      </c>
      <c r="D228" s="10">
        <v>13</v>
      </c>
      <c r="E228" s="10" t="s">
        <v>115</v>
      </c>
      <c r="F228" s="11" t="s">
        <v>987</v>
      </c>
      <c r="G228" s="12" t="s">
        <v>992</v>
      </c>
      <c r="H228" s="11" t="s">
        <v>993</v>
      </c>
      <c r="I228" s="11" t="s">
        <v>953</v>
      </c>
      <c r="J228" s="10"/>
      <c r="K228" s="10" t="s">
        <v>61</v>
      </c>
      <c r="L228" s="13" t="s">
        <v>62</v>
      </c>
      <c r="M228" s="14" t="s">
        <v>1062</v>
      </c>
      <c r="N228" s="15" t="s">
        <v>994</v>
      </c>
      <c r="O228" s="16"/>
      <c r="P228" s="14" t="s">
        <v>64</v>
      </c>
      <c r="Q228" s="17">
        <f t="shared" si="14"/>
        <v>3.1582011352059403E-2</v>
      </c>
      <c r="R228" s="11"/>
      <c r="S228" s="18">
        <f t="shared" si="12"/>
        <v>66.540000000000006</v>
      </c>
      <c r="T228" s="18">
        <f t="shared" si="13"/>
        <v>68.710000000000008</v>
      </c>
    </row>
    <row r="229" spans="1:20" ht="28.8" x14ac:dyDescent="0.3">
      <c r="A229" s="9" t="s">
        <v>995</v>
      </c>
      <c r="B229" s="10" t="s">
        <v>950</v>
      </c>
      <c r="C229" s="10" t="s">
        <v>55</v>
      </c>
      <c r="D229" s="10">
        <v>13</v>
      </c>
      <c r="E229" s="10" t="s">
        <v>120</v>
      </c>
      <c r="F229" s="11" t="s">
        <v>987</v>
      </c>
      <c r="G229" s="12" t="s">
        <v>996</v>
      </c>
      <c r="H229" s="11" t="s">
        <v>997</v>
      </c>
      <c r="I229" s="11" t="s">
        <v>953</v>
      </c>
      <c r="J229" s="10"/>
      <c r="K229" s="10" t="s">
        <v>61</v>
      </c>
      <c r="L229" s="13" t="s">
        <v>62</v>
      </c>
      <c r="M229" s="14"/>
      <c r="N229" s="15" t="s">
        <v>998</v>
      </c>
      <c r="O229" s="16"/>
      <c r="P229" s="14" t="s">
        <v>64</v>
      </c>
      <c r="Q229" s="17">
        <f t="shared" ref="Q229:Q260" si="15">IF(OR(S229="",T229=""),"",(T229-S229)/T229)</f>
        <v>1.810960010771508E-2</v>
      </c>
      <c r="R229" s="11"/>
      <c r="S229" s="18">
        <f t="shared" si="12"/>
        <v>145.85</v>
      </c>
      <c r="T229" s="18">
        <f t="shared" si="13"/>
        <v>148.54</v>
      </c>
    </row>
    <row r="230" spans="1:20" ht="28.8" x14ac:dyDescent="0.3">
      <c r="A230" s="9" t="s">
        <v>999</v>
      </c>
      <c r="B230" s="10" t="s">
        <v>950</v>
      </c>
      <c r="C230" s="10" t="s">
        <v>55</v>
      </c>
      <c r="D230" s="10">
        <v>13</v>
      </c>
      <c r="E230" s="10" t="s">
        <v>126</v>
      </c>
      <c r="F230" s="11" t="s">
        <v>57</v>
      </c>
      <c r="G230" s="12" t="s">
        <v>1000</v>
      </c>
      <c r="H230" s="11" t="s">
        <v>961</v>
      </c>
      <c r="I230" s="11" t="s">
        <v>953</v>
      </c>
      <c r="J230" s="10"/>
      <c r="K230" s="10" t="s">
        <v>61</v>
      </c>
      <c r="L230" s="13" t="s">
        <v>62</v>
      </c>
      <c r="M230" s="14" t="s">
        <v>1748</v>
      </c>
      <c r="N230" s="15" t="s">
        <v>1001</v>
      </c>
      <c r="O230" s="16"/>
      <c r="P230" s="14" t="s">
        <v>64</v>
      </c>
      <c r="Q230" s="17">
        <f t="shared" si="15"/>
        <v>3.8927653323540166E-2</v>
      </c>
      <c r="R230" s="11"/>
      <c r="S230" s="18">
        <f t="shared" si="12"/>
        <v>26.17</v>
      </c>
      <c r="T230" s="18">
        <f t="shared" si="13"/>
        <v>27.23</v>
      </c>
    </row>
    <row r="231" spans="1:20" ht="28.8" x14ac:dyDescent="0.3">
      <c r="A231" s="9" t="s">
        <v>1002</v>
      </c>
      <c r="B231" s="10" t="s">
        <v>950</v>
      </c>
      <c r="C231" s="10" t="s">
        <v>55</v>
      </c>
      <c r="D231" s="10">
        <v>13</v>
      </c>
      <c r="E231" s="10" t="s">
        <v>130</v>
      </c>
      <c r="F231" s="11" t="s">
        <v>57</v>
      </c>
      <c r="G231" s="12" t="s">
        <v>1003</v>
      </c>
      <c r="H231" s="11" t="s">
        <v>1004</v>
      </c>
      <c r="I231" s="11" t="s">
        <v>953</v>
      </c>
      <c r="J231" s="10"/>
      <c r="K231" s="10" t="s">
        <v>61</v>
      </c>
      <c r="L231" s="13" t="s">
        <v>62</v>
      </c>
      <c r="M231" s="14" t="s">
        <v>93</v>
      </c>
      <c r="N231" s="15" t="s">
        <v>1005</v>
      </c>
      <c r="O231" s="16"/>
      <c r="P231" s="14" t="s">
        <v>64</v>
      </c>
      <c r="Q231" s="17">
        <f t="shared" si="15"/>
        <v>5.3131245836109224E-2</v>
      </c>
      <c r="R231" s="11"/>
      <c r="S231" s="18">
        <f t="shared" si="12"/>
        <v>56.85</v>
      </c>
      <c r="T231" s="18">
        <f t="shared" si="13"/>
        <v>60.04</v>
      </c>
    </row>
    <row r="232" spans="1:20" ht="28.8" x14ac:dyDescent="0.3">
      <c r="A232" s="9" t="s">
        <v>1006</v>
      </c>
      <c r="B232" s="10" t="s">
        <v>950</v>
      </c>
      <c r="C232" s="10" t="s">
        <v>55</v>
      </c>
      <c r="D232" s="10">
        <v>13</v>
      </c>
      <c r="E232" s="10" t="s">
        <v>135</v>
      </c>
      <c r="F232" s="11" t="s">
        <v>1007</v>
      </c>
      <c r="G232" s="12" t="s">
        <v>1008</v>
      </c>
      <c r="H232" s="11" t="s">
        <v>1009</v>
      </c>
      <c r="I232" s="11" t="s">
        <v>953</v>
      </c>
      <c r="J232" s="10"/>
      <c r="K232" s="10" t="s">
        <v>61</v>
      </c>
      <c r="L232" s="13" t="s">
        <v>62</v>
      </c>
      <c r="M232" s="14"/>
      <c r="N232" s="15" t="s">
        <v>1010</v>
      </c>
      <c r="O232" s="16"/>
      <c r="P232" s="14" t="s">
        <v>64</v>
      </c>
      <c r="Q232" s="17">
        <f t="shared" si="15"/>
        <v>6.8965517241379821E-3</v>
      </c>
      <c r="R232" s="11"/>
      <c r="S232" s="18">
        <f t="shared" si="12"/>
        <v>133.91999999999999</v>
      </c>
      <c r="T232" s="18">
        <f t="shared" si="13"/>
        <v>134.85</v>
      </c>
    </row>
    <row r="233" spans="1:20" ht="28.8" x14ac:dyDescent="0.3">
      <c r="A233" s="9" t="s">
        <v>1011</v>
      </c>
      <c r="B233" s="10" t="s">
        <v>950</v>
      </c>
      <c r="C233" s="10" t="s">
        <v>55</v>
      </c>
      <c r="D233" s="10">
        <v>13</v>
      </c>
      <c r="E233" s="10" t="s">
        <v>146</v>
      </c>
      <c r="F233" s="11" t="s">
        <v>57</v>
      </c>
      <c r="G233" s="12" t="s">
        <v>1012</v>
      </c>
      <c r="H233" s="11" t="s">
        <v>1004</v>
      </c>
      <c r="I233" s="11" t="s">
        <v>953</v>
      </c>
      <c r="J233" s="10"/>
      <c r="K233" s="10" t="s">
        <v>61</v>
      </c>
      <c r="L233" s="13" t="s">
        <v>62</v>
      </c>
      <c r="M233" s="14" t="s">
        <v>1062</v>
      </c>
      <c r="N233" s="15" t="s">
        <v>1013</v>
      </c>
      <c r="O233" s="16"/>
      <c r="P233" s="14" t="s">
        <v>64</v>
      </c>
      <c r="Q233" s="17">
        <f t="shared" si="15"/>
        <v>4.9263250494831753E-2</v>
      </c>
      <c r="R233" s="11"/>
      <c r="S233" s="18">
        <f t="shared" si="12"/>
        <v>129.69</v>
      </c>
      <c r="T233" s="18">
        <f t="shared" si="13"/>
        <v>136.41</v>
      </c>
    </row>
    <row r="234" spans="1:20" ht="28.8" x14ac:dyDescent="0.3">
      <c r="A234" s="9" t="s">
        <v>1014</v>
      </c>
      <c r="B234" s="10" t="s">
        <v>950</v>
      </c>
      <c r="C234" s="10" t="s">
        <v>55</v>
      </c>
      <c r="D234" s="10">
        <v>13</v>
      </c>
      <c r="E234" s="10" t="s">
        <v>150</v>
      </c>
      <c r="F234" s="11" t="s">
        <v>136</v>
      </c>
      <c r="G234" s="12" t="s">
        <v>1015</v>
      </c>
      <c r="H234" s="11" t="s">
        <v>1016</v>
      </c>
      <c r="I234" s="11" t="s">
        <v>953</v>
      </c>
      <c r="J234" s="10"/>
      <c r="K234" s="10" t="s">
        <v>61</v>
      </c>
      <c r="L234" s="13" t="s">
        <v>62</v>
      </c>
      <c r="M234" s="14"/>
      <c r="N234" s="15" t="s">
        <v>1017</v>
      </c>
      <c r="O234" s="16"/>
      <c r="P234" s="14" t="s">
        <v>64</v>
      </c>
      <c r="Q234" s="17">
        <f t="shared" si="15"/>
        <v>3.2658166278706105E-3</v>
      </c>
      <c r="R234" s="11"/>
      <c r="S234" s="18">
        <f t="shared" si="12"/>
        <v>286.89</v>
      </c>
      <c r="T234" s="18">
        <f t="shared" si="13"/>
        <v>287.83</v>
      </c>
    </row>
    <row r="235" spans="1:20" ht="28.8" x14ac:dyDescent="0.3">
      <c r="A235" s="9" t="s">
        <v>1018</v>
      </c>
      <c r="B235" s="10" t="s">
        <v>950</v>
      </c>
      <c r="C235" s="10" t="s">
        <v>55</v>
      </c>
      <c r="D235" s="10">
        <v>14</v>
      </c>
      <c r="E235" s="10" t="s">
        <v>56</v>
      </c>
      <c r="F235" s="11" t="s">
        <v>57</v>
      </c>
      <c r="G235" s="12" t="s">
        <v>1019</v>
      </c>
      <c r="H235" s="11" t="s">
        <v>1020</v>
      </c>
      <c r="I235" s="11" t="s">
        <v>953</v>
      </c>
      <c r="J235" s="10"/>
      <c r="K235" s="10" t="s">
        <v>61</v>
      </c>
      <c r="L235" s="13" t="s">
        <v>62</v>
      </c>
      <c r="M235" s="14"/>
      <c r="N235" s="15" t="s">
        <v>1021</v>
      </c>
      <c r="O235" s="16"/>
      <c r="P235" s="14" t="s">
        <v>64</v>
      </c>
      <c r="Q235" s="17">
        <f t="shared" si="15"/>
        <v>4.1736227045081648E-4</v>
      </c>
      <c r="R235" s="11"/>
      <c r="S235" s="18">
        <f t="shared" si="12"/>
        <v>23.95</v>
      </c>
      <c r="T235" s="18">
        <f t="shared" si="13"/>
        <v>23.96</v>
      </c>
    </row>
    <row r="236" spans="1:20" ht="28.8" x14ac:dyDescent="0.3">
      <c r="A236" s="9" t="s">
        <v>1022</v>
      </c>
      <c r="B236" s="10" t="s">
        <v>950</v>
      </c>
      <c r="C236" s="10" t="s">
        <v>55</v>
      </c>
      <c r="D236" s="10">
        <v>14</v>
      </c>
      <c r="E236" s="10" t="s">
        <v>66</v>
      </c>
      <c r="F236" s="11" t="s">
        <v>57</v>
      </c>
      <c r="G236" s="12" t="s">
        <v>1023</v>
      </c>
      <c r="H236" s="11" t="s">
        <v>1024</v>
      </c>
      <c r="I236" s="11" t="s">
        <v>953</v>
      </c>
      <c r="J236" s="10"/>
      <c r="K236" s="10" t="s">
        <v>61</v>
      </c>
      <c r="L236" s="13" t="s">
        <v>62</v>
      </c>
      <c r="M236" s="14"/>
      <c r="N236" s="15" t="s">
        <v>1025</v>
      </c>
      <c r="O236" s="16"/>
      <c r="P236" s="14" t="s">
        <v>64</v>
      </c>
      <c r="Q236" s="17">
        <f t="shared" si="15"/>
        <v>2.6325829835940527E-2</v>
      </c>
      <c r="R236" s="11"/>
      <c r="S236" s="18">
        <f t="shared" si="12"/>
        <v>51.04</v>
      </c>
      <c r="T236" s="18">
        <f t="shared" si="13"/>
        <v>52.42</v>
      </c>
    </row>
    <row r="237" spans="1:20" ht="28.8" x14ac:dyDescent="0.3">
      <c r="A237" s="9" t="s">
        <v>1026</v>
      </c>
      <c r="B237" s="10" t="s">
        <v>950</v>
      </c>
      <c r="C237" s="10" t="s">
        <v>55</v>
      </c>
      <c r="D237" s="10">
        <v>14</v>
      </c>
      <c r="E237" s="10" t="s">
        <v>70</v>
      </c>
      <c r="F237" s="11" t="s">
        <v>57</v>
      </c>
      <c r="G237" s="12" t="s">
        <v>1027</v>
      </c>
      <c r="H237" s="11" t="s">
        <v>1028</v>
      </c>
      <c r="I237" s="11" t="s">
        <v>953</v>
      </c>
      <c r="J237" s="10"/>
      <c r="K237" s="10" t="s">
        <v>61</v>
      </c>
      <c r="L237" s="13" t="s">
        <v>62</v>
      </c>
      <c r="M237" s="14" t="s">
        <v>81</v>
      </c>
      <c r="N237" s="15" t="s">
        <v>1029</v>
      </c>
      <c r="O237" s="16"/>
      <c r="P237" s="14" t="s">
        <v>64</v>
      </c>
      <c r="Q237" s="17">
        <f t="shared" si="15"/>
        <v>3.6966660908619803E-2</v>
      </c>
      <c r="R237" s="11"/>
      <c r="S237" s="18">
        <f t="shared" si="12"/>
        <v>111.5</v>
      </c>
      <c r="T237" s="18">
        <f t="shared" si="13"/>
        <v>115.78</v>
      </c>
    </row>
    <row r="238" spans="1:20" ht="28.8" x14ac:dyDescent="0.3">
      <c r="A238" s="9" t="s">
        <v>1030</v>
      </c>
      <c r="B238" s="10" t="s">
        <v>950</v>
      </c>
      <c r="C238" s="10" t="s">
        <v>55</v>
      </c>
      <c r="D238" s="10">
        <v>14</v>
      </c>
      <c r="E238" s="10" t="s">
        <v>75</v>
      </c>
      <c r="F238" s="11" t="s">
        <v>57</v>
      </c>
      <c r="G238" s="12" t="s">
        <v>1031</v>
      </c>
      <c r="H238" s="11" t="s">
        <v>1032</v>
      </c>
      <c r="I238" s="11" t="s">
        <v>953</v>
      </c>
      <c r="J238" s="10"/>
      <c r="K238" s="10" t="s">
        <v>61</v>
      </c>
      <c r="L238" s="13" t="s">
        <v>62</v>
      </c>
      <c r="M238" s="14"/>
      <c r="N238" s="15" t="s">
        <v>1033</v>
      </c>
      <c r="O238" s="16"/>
      <c r="P238" s="14" t="s">
        <v>64</v>
      </c>
      <c r="Q238" s="17">
        <f t="shared" si="15"/>
        <v>5.3291793063868628E-3</v>
      </c>
      <c r="R238" s="11"/>
      <c r="S238" s="18">
        <f t="shared" si="12"/>
        <v>242.64</v>
      </c>
      <c r="T238" s="18">
        <f t="shared" si="13"/>
        <v>243.94</v>
      </c>
    </row>
    <row r="239" spans="1:20" ht="28.8" x14ac:dyDescent="0.3">
      <c r="A239" s="9" t="s">
        <v>1034</v>
      </c>
      <c r="B239" s="10" t="s">
        <v>950</v>
      </c>
      <c r="C239" s="10" t="s">
        <v>55</v>
      </c>
      <c r="D239" s="10">
        <v>14</v>
      </c>
      <c r="E239" s="10" t="s">
        <v>80</v>
      </c>
      <c r="F239" s="11" t="s">
        <v>81</v>
      </c>
      <c r="G239" s="12" t="s">
        <v>1035</v>
      </c>
      <c r="H239" s="11" t="s">
        <v>1036</v>
      </c>
      <c r="I239" s="11" t="s">
        <v>953</v>
      </c>
      <c r="J239" s="10"/>
      <c r="K239" s="10" t="s">
        <v>61</v>
      </c>
      <c r="L239" s="13" t="s">
        <v>62</v>
      </c>
      <c r="M239" s="14"/>
      <c r="N239" s="15" t="s">
        <v>1037</v>
      </c>
      <c r="O239" s="16"/>
      <c r="P239" s="14" t="s">
        <v>64</v>
      </c>
      <c r="Q239" s="17">
        <f t="shared" si="15"/>
        <v>2.8322818390538386E-2</v>
      </c>
      <c r="R239" s="11"/>
      <c r="S239" s="18">
        <f t="shared" si="12"/>
        <v>503.63</v>
      </c>
      <c r="T239" s="18">
        <f t="shared" si="13"/>
        <v>518.30999999999995</v>
      </c>
    </row>
    <row r="240" spans="1:20" ht="28.8" x14ac:dyDescent="0.3">
      <c r="A240" s="9" t="s">
        <v>1038</v>
      </c>
      <c r="B240" s="10" t="s">
        <v>950</v>
      </c>
      <c r="C240" s="10" t="s">
        <v>55</v>
      </c>
      <c r="D240" s="10">
        <v>14</v>
      </c>
      <c r="E240" s="10" t="s">
        <v>86</v>
      </c>
      <c r="F240" s="11" t="s">
        <v>81</v>
      </c>
      <c r="G240" s="12" t="s">
        <v>1039</v>
      </c>
      <c r="H240" s="11" t="s">
        <v>1040</v>
      </c>
      <c r="I240" s="11" t="s">
        <v>953</v>
      </c>
      <c r="J240" s="10"/>
      <c r="K240" s="10" t="s">
        <v>61</v>
      </c>
      <c r="L240" s="13" t="s">
        <v>62</v>
      </c>
      <c r="M240" s="14" t="s">
        <v>1747</v>
      </c>
      <c r="N240" s="15" t="s">
        <v>1041</v>
      </c>
      <c r="O240" s="16"/>
      <c r="P240" s="14" t="s">
        <v>64</v>
      </c>
      <c r="Q240" s="17">
        <f t="shared" si="15"/>
        <v>3.0096205837643719E-2</v>
      </c>
      <c r="R240" s="11"/>
      <c r="S240" s="18">
        <f t="shared" si="12"/>
        <v>950.69</v>
      </c>
      <c r="T240" s="18">
        <f t="shared" si="13"/>
        <v>980.19</v>
      </c>
    </row>
    <row r="241" spans="1:20" ht="28.8" x14ac:dyDescent="0.3">
      <c r="A241" s="9" t="s">
        <v>1042</v>
      </c>
      <c r="B241" s="10" t="s">
        <v>950</v>
      </c>
      <c r="C241" s="10" t="s">
        <v>55</v>
      </c>
      <c r="D241" s="10">
        <v>14</v>
      </c>
      <c r="E241" s="10" t="s">
        <v>92</v>
      </c>
      <c r="F241" s="11" t="s">
        <v>978</v>
      </c>
      <c r="G241" s="12" t="s">
        <v>1043</v>
      </c>
      <c r="H241" s="11" t="s">
        <v>1044</v>
      </c>
      <c r="I241" s="11" t="s">
        <v>953</v>
      </c>
      <c r="J241" s="10"/>
      <c r="K241" s="10" t="s">
        <v>61</v>
      </c>
      <c r="L241" s="13" t="s">
        <v>62</v>
      </c>
      <c r="M241" s="14"/>
      <c r="N241" s="15" t="s">
        <v>1045</v>
      </c>
      <c r="O241" s="16"/>
      <c r="P241" s="14" t="s">
        <v>64</v>
      </c>
      <c r="Q241" s="17">
        <f t="shared" si="15"/>
        <v>2.2132054592400858E-3</v>
      </c>
      <c r="R241" s="11"/>
      <c r="S241" s="18">
        <f t="shared" si="12"/>
        <v>27.05</v>
      </c>
      <c r="T241" s="18">
        <f t="shared" si="13"/>
        <v>27.11</v>
      </c>
    </row>
    <row r="242" spans="1:20" ht="28.8" x14ac:dyDescent="0.3">
      <c r="A242" s="9" t="s">
        <v>1046</v>
      </c>
      <c r="B242" s="10" t="s">
        <v>950</v>
      </c>
      <c r="C242" s="10" t="s">
        <v>55</v>
      </c>
      <c r="D242" s="10">
        <v>14</v>
      </c>
      <c r="E242" s="10" t="s">
        <v>98</v>
      </c>
      <c r="F242" s="11" t="s">
        <v>978</v>
      </c>
      <c r="G242" s="12" t="s">
        <v>300</v>
      </c>
      <c r="H242" s="11" t="s">
        <v>1047</v>
      </c>
      <c r="I242" s="11" t="s">
        <v>953</v>
      </c>
      <c r="J242" s="10"/>
      <c r="K242" s="10" t="s">
        <v>61</v>
      </c>
      <c r="L242" s="13" t="s">
        <v>62</v>
      </c>
      <c r="M242" s="14" t="s">
        <v>1315</v>
      </c>
      <c r="N242" s="15" t="s">
        <v>1048</v>
      </c>
      <c r="O242" s="16"/>
      <c r="P242" s="14" t="s">
        <v>64</v>
      </c>
      <c r="Q242" s="17">
        <f t="shared" si="15"/>
        <v>3.239959500506235E-2</v>
      </c>
      <c r="R242" s="11"/>
      <c r="S242" s="18">
        <f t="shared" si="12"/>
        <v>57.34</v>
      </c>
      <c r="T242" s="18">
        <f t="shared" si="13"/>
        <v>59.26</v>
      </c>
    </row>
    <row r="243" spans="1:20" ht="28.8" x14ac:dyDescent="0.3">
      <c r="A243" s="9" t="s">
        <v>1049</v>
      </c>
      <c r="B243" s="10" t="s">
        <v>950</v>
      </c>
      <c r="C243" s="10" t="s">
        <v>55</v>
      </c>
      <c r="D243" s="10">
        <v>14</v>
      </c>
      <c r="E243" s="10" t="s">
        <v>103</v>
      </c>
      <c r="F243" s="11" t="s">
        <v>978</v>
      </c>
      <c r="G243" s="12" t="s">
        <v>1050</v>
      </c>
      <c r="H243" s="11" t="s">
        <v>1051</v>
      </c>
      <c r="I243" s="11" t="s">
        <v>953</v>
      </c>
      <c r="J243" s="10"/>
      <c r="K243" s="10" t="s">
        <v>61</v>
      </c>
      <c r="L243" s="13" t="s">
        <v>62</v>
      </c>
      <c r="M243" s="14"/>
      <c r="N243" s="15" t="s">
        <v>1052</v>
      </c>
      <c r="O243" s="16"/>
      <c r="P243" s="14" t="s">
        <v>64</v>
      </c>
      <c r="Q243" s="17">
        <f t="shared" si="15"/>
        <v>6.5861690450055152E-3</v>
      </c>
      <c r="R243" s="11"/>
      <c r="S243" s="18">
        <f t="shared" si="12"/>
        <v>126.7</v>
      </c>
      <c r="T243" s="18">
        <f t="shared" si="13"/>
        <v>127.54</v>
      </c>
    </row>
    <row r="244" spans="1:20" ht="28.8" x14ac:dyDescent="0.3">
      <c r="A244" s="9" t="s">
        <v>1053</v>
      </c>
      <c r="B244" s="10" t="s">
        <v>950</v>
      </c>
      <c r="C244" s="10" t="s">
        <v>55</v>
      </c>
      <c r="D244" s="10">
        <v>14</v>
      </c>
      <c r="E244" s="10" t="s">
        <v>109</v>
      </c>
      <c r="F244" s="11" t="s">
        <v>987</v>
      </c>
      <c r="G244" s="12" t="s">
        <v>1054</v>
      </c>
      <c r="H244" s="11" t="s">
        <v>1055</v>
      </c>
      <c r="I244" s="11" t="s">
        <v>953</v>
      </c>
      <c r="J244" s="10"/>
      <c r="K244" s="10" t="s">
        <v>61</v>
      </c>
      <c r="L244" s="13" t="s">
        <v>62</v>
      </c>
      <c r="M244" s="14"/>
      <c r="N244" s="15" t="s">
        <v>1056</v>
      </c>
      <c r="O244" s="16"/>
      <c r="P244" s="14" t="s">
        <v>64</v>
      </c>
      <c r="Q244" s="17">
        <f t="shared" si="15"/>
        <v>2.1395655036207984E-2</v>
      </c>
      <c r="R244" s="11"/>
      <c r="S244" s="18">
        <f t="shared" si="12"/>
        <v>29.73</v>
      </c>
      <c r="T244" s="18">
        <f t="shared" si="13"/>
        <v>30.38</v>
      </c>
    </row>
    <row r="245" spans="1:20" ht="28.8" x14ac:dyDescent="0.3">
      <c r="A245" s="9" t="s">
        <v>1057</v>
      </c>
      <c r="B245" s="10" t="s">
        <v>950</v>
      </c>
      <c r="C245" s="10" t="s">
        <v>55</v>
      </c>
      <c r="D245" s="10">
        <v>14</v>
      </c>
      <c r="E245" s="10" t="s">
        <v>115</v>
      </c>
      <c r="F245" s="11" t="s">
        <v>987</v>
      </c>
      <c r="G245" s="12" t="s">
        <v>1058</v>
      </c>
      <c r="H245" s="11" t="s">
        <v>1059</v>
      </c>
      <c r="I245" s="11" t="s">
        <v>953</v>
      </c>
      <c r="J245" s="10"/>
      <c r="K245" s="10" t="s">
        <v>61</v>
      </c>
      <c r="L245" s="13" t="s">
        <v>62</v>
      </c>
      <c r="M245" s="14"/>
      <c r="N245" s="15" t="s">
        <v>1060</v>
      </c>
      <c r="O245" s="16"/>
      <c r="P245" s="14" t="s">
        <v>64</v>
      </c>
      <c r="Q245" s="17">
        <f t="shared" si="15"/>
        <v>2.1160822249093195E-3</v>
      </c>
      <c r="R245" s="11"/>
      <c r="S245" s="18">
        <f t="shared" si="12"/>
        <v>66.02</v>
      </c>
      <c r="T245" s="18">
        <f t="shared" si="13"/>
        <v>66.16</v>
      </c>
    </row>
    <row r="246" spans="1:20" ht="28.8" x14ac:dyDescent="0.3">
      <c r="A246" s="9" t="s">
        <v>1061</v>
      </c>
      <c r="B246" s="10" t="s">
        <v>950</v>
      </c>
      <c r="C246" s="10" t="s">
        <v>55</v>
      </c>
      <c r="D246" s="10">
        <v>14</v>
      </c>
      <c r="E246" s="10" t="s">
        <v>120</v>
      </c>
      <c r="F246" s="11" t="s">
        <v>1062</v>
      </c>
      <c r="G246" s="12" t="s">
        <v>1063</v>
      </c>
      <c r="H246" s="11" t="s">
        <v>1064</v>
      </c>
      <c r="I246" s="11" t="s">
        <v>953</v>
      </c>
      <c r="J246" s="10"/>
      <c r="K246" s="10" t="s">
        <v>61</v>
      </c>
      <c r="L246" s="13" t="s">
        <v>62</v>
      </c>
      <c r="M246" s="14"/>
      <c r="N246" s="15" t="s">
        <v>1065</v>
      </c>
      <c r="O246" s="16"/>
      <c r="P246" s="14" t="s">
        <v>64</v>
      </c>
      <c r="Q246" s="17">
        <f t="shared" si="15"/>
        <v>1.0130246020260679E-2</v>
      </c>
      <c r="R246" s="11"/>
      <c r="S246" s="18">
        <f t="shared" si="12"/>
        <v>143.63999999999999</v>
      </c>
      <c r="T246" s="18">
        <f t="shared" si="13"/>
        <v>145.11000000000001</v>
      </c>
    </row>
    <row r="247" spans="1:20" ht="28.8" x14ac:dyDescent="0.3">
      <c r="A247" s="9" t="s">
        <v>1066</v>
      </c>
      <c r="B247" s="10" t="s">
        <v>950</v>
      </c>
      <c r="C247" s="10" t="s">
        <v>55</v>
      </c>
      <c r="D247" s="10">
        <v>14</v>
      </c>
      <c r="E247" s="10" t="s">
        <v>126</v>
      </c>
      <c r="F247" s="11" t="s">
        <v>57</v>
      </c>
      <c r="G247" s="12" t="s">
        <v>1067</v>
      </c>
      <c r="H247" s="11" t="s">
        <v>1068</v>
      </c>
      <c r="I247" s="11" t="s">
        <v>953</v>
      </c>
      <c r="J247" s="10"/>
      <c r="K247" s="10" t="s">
        <v>61</v>
      </c>
      <c r="L247" s="13" t="s">
        <v>62</v>
      </c>
      <c r="M247" s="14"/>
      <c r="N247" s="15" t="s">
        <v>1069</v>
      </c>
      <c r="O247" s="16"/>
      <c r="P247" s="14" t="s">
        <v>64</v>
      </c>
      <c r="Q247" s="17">
        <f t="shared" si="15"/>
        <v>1.3430544896392858E-2</v>
      </c>
      <c r="R247" s="11"/>
      <c r="S247" s="18">
        <f t="shared" si="12"/>
        <v>25.71</v>
      </c>
      <c r="T247" s="18">
        <f t="shared" si="13"/>
        <v>26.06</v>
      </c>
    </row>
    <row r="248" spans="1:20" ht="28.8" x14ac:dyDescent="0.3">
      <c r="A248" s="9" t="s">
        <v>1070</v>
      </c>
      <c r="B248" s="10" t="s">
        <v>950</v>
      </c>
      <c r="C248" s="10" t="s">
        <v>55</v>
      </c>
      <c r="D248" s="10">
        <v>14</v>
      </c>
      <c r="E248" s="10" t="s">
        <v>130</v>
      </c>
      <c r="F248" s="11" t="s">
        <v>57</v>
      </c>
      <c r="G248" s="12" t="s">
        <v>1071</v>
      </c>
      <c r="H248" s="11" t="s">
        <v>1072</v>
      </c>
      <c r="I248" s="11" t="s">
        <v>953</v>
      </c>
      <c r="J248" s="10"/>
      <c r="K248" s="10" t="s">
        <v>61</v>
      </c>
      <c r="L248" s="13" t="s">
        <v>62</v>
      </c>
      <c r="M248" s="14"/>
      <c r="N248" s="15" t="s">
        <v>1073</v>
      </c>
      <c r="O248" s="16"/>
      <c r="P248" s="14" t="s">
        <v>64</v>
      </c>
      <c r="Q248" s="17">
        <f t="shared" si="15"/>
        <v>2.4521739130434723E-2</v>
      </c>
      <c r="R248" s="11"/>
      <c r="S248" s="18">
        <f t="shared" si="12"/>
        <v>56.09</v>
      </c>
      <c r="T248" s="18">
        <f t="shared" si="13"/>
        <v>57.5</v>
      </c>
    </row>
    <row r="249" spans="1:20" ht="28.8" x14ac:dyDescent="0.3">
      <c r="A249" s="9" t="s">
        <v>1074</v>
      </c>
      <c r="B249" s="10" t="s">
        <v>950</v>
      </c>
      <c r="C249" s="10" t="s">
        <v>55</v>
      </c>
      <c r="D249" s="10">
        <v>14</v>
      </c>
      <c r="E249" s="10" t="s">
        <v>135</v>
      </c>
      <c r="F249" s="11" t="s">
        <v>174</v>
      </c>
      <c r="G249" s="12" t="s">
        <v>1075</v>
      </c>
      <c r="H249" s="11" t="s">
        <v>1076</v>
      </c>
      <c r="I249" s="11" t="s">
        <v>953</v>
      </c>
      <c r="J249" s="10"/>
      <c r="K249" s="10" t="s">
        <v>61</v>
      </c>
      <c r="L249" s="13" t="s">
        <v>62</v>
      </c>
      <c r="M249" s="14"/>
      <c r="N249" s="15" t="s">
        <v>1077</v>
      </c>
      <c r="O249" s="16"/>
      <c r="P249" s="14" t="s">
        <v>64</v>
      </c>
      <c r="Q249" s="17">
        <f t="shared" si="15"/>
        <v>4.0463777137965612E-3</v>
      </c>
      <c r="R249" s="11"/>
      <c r="S249" s="18">
        <f t="shared" si="12"/>
        <v>127.99</v>
      </c>
      <c r="T249" s="18">
        <f t="shared" si="13"/>
        <v>128.51</v>
      </c>
    </row>
    <row r="250" spans="1:20" ht="28.8" x14ac:dyDescent="0.3">
      <c r="A250" s="9" t="s">
        <v>1078</v>
      </c>
      <c r="B250" s="10" t="s">
        <v>950</v>
      </c>
      <c r="C250" s="10" t="s">
        <v>55</v>
      </c>
      <c r="D250" s="10">
        <v>14</v>
      </c>
      <c r="E250" s="10" t="s">
        <v>146</v>
      </c>
      <c r="F250" s="11" t="s">
        <v>1079</v>
      </c>
      <c r="G250" s="12" t="s">
        <v>1080</v>
      </c>
      <c r="H250" s="11" t="s">
        <v>1081</v>
      </c>
      <c r="I250" s="11" t="s">
        <v>953</v>
      </c>
      <c r="J250" s="10"/>
      <c r="K250" s="10" t="s">
        <v>61</v>
      </c>
      <c r="L250" s="13" t="s">
        <v>62</v>
      </c>
      <c r="M250" s="14"/>
      <c r="N250" s="15" t="s">
        <v>1082</v>
      </c>
      <c r="O250" s="16"/>
      <c r="P250" s="14" t="s">
        <v>64</v>
      </c>
      <c r="Q250" s="17">
        <f t="shared" si="15"/>
        <v>3.1304878979918804E-3</v>
      </c>
      <c r="R250" s="11"/>
      <c r="S250" s="18">
        <f t="shared" si="12"/>
        <v>130.56</v>
      </c>
      <c r="T250" s="18">
        <f t="shared" si="13"/>
        <v>130.97</v>
      </c>
    </row>
    <row r="251" spans="1:20" ht="28.8" x14ac:dyDescent="0.3">
      <c r="A251" s="9" t="s">
        <v>1083</v>
      </c>
      <c r="B251" s="10" t="s">
        <v>950</v>
      </c>
      <c r="C251" s="10" t="s">
        <v>55</v>
      </c>
      <c r="D251" s="10">
        <v>14</v>
      </c>
      <c r="E251" s="10" t="s">
        <v>150</v>
      </c>
      <c r="F251" s="11" t="s">
        <v>136</v>
      </c>
      <c r="G251" s="12" t="s">
        <v>1084</v>
      </c>
      <c r="H251" s="11" t="s">
        <v>1085</v>
      </c>
      <c r="I251" s="11" t="s">
        <v>953</v>
      </c>
      <c r="J251" s="10"/>
      <c r="K251" s="10" t="s">
        <v>61</v>
      </c>
      <c r="L251" s="13" t="s">
        <v>62</v>
      </c>
      <c r="M251" s="14"/>
      <c r="N251" s="15" t="s">
        <v>1086</v>
      </c>
      <c r="O251" s="16"/>
      <c r="P251" s="14" t="s">
        <v>64</v>
      </c>
      <c r="Q251" s="17">
        <f t="shared" si="15"/>
        <v>6.5716632736884592E-3</v>
      </c>
      <c r="R251" s="11"/>
      <c r="S251" s="18">
        <f t="shared" si="12"/>
        <v>278.14999999999998</v>
      </c>
      <c r="T251" s="18">
        <f t="shared" si="13"/>
        <v>279.99</v>
      </c>
    </row>
    <row r="252" spans="1:20" ht="28.8" x14ac:dyDescent="0.3">
      <c r="A252" s="9" t="s">
        <v>1087</v>
      </c>
      <c r="B252" s="10" t="s">
        <v>950</v>
      </c>
      <c r="C252" s="10" t="s">
        <v>55</v>
      </c>
      <c r="D252" s="10">
        <v>15</v>
      </c>
      <c r="E252" s="10" t="s">
        <v>56</v>
      </c>
      <c r="F252" s="11" t="s">
        <v>310</v>
      </c>
      <c r="G252" s="12" t="s">
        <v>1088</v>
      </c>
      <c r="H252" s="11" t="s">
        <v>1089</v>
      </c>
      <c r="I252" s="11" t="s">
        <v>953</v>
      </c>
      <c r="J252" s="10"/>
      <c r="K252" s="10" t="s">
        <v>61</v>
      </c>
      <c r="L252" s="13" t="s">
        <v>62</v>
      </c>
      <c r="M252" s="14"/>
      <c r="N252" s="15" t="s">
        <v>1090</v>
      </c>
      <c r="O252" s="16"/>
      <c r="P252" s="14" t="s">
        <v>64</v>
      </c>
      <c r="Q252" s="17">
        <f t="shared" si="15"/>
        <v>2.2033898305084877E-2</v>
      </c>
      <c r="R252" s="11"/>
      <c r="S252" s="18">
        <f t="shared" si="12"/>
        <v>23.08</v>
      </c>
      <c r="T252" s="18">
        <f t="shared" si="13"/>
        <v>23.6</v>
      </c>
    </row>
    <row r="253" spans="1:20" ht="28.8" x14ac:dyDescent="0.3">
      <c r="A253" s="9" t="s">
        <v>1091</v>
      </c>
      <c r="B253" s="10" t="s">
        <v>950</v>
      </c>
      <c r="C253" s="10" t="s">
        <v>55</v>
      </c>
      <c r="D253" s="10">
        <v>15</v>
      </c>
      <c r="E253" s="10" t="s">
        <v>66</v>
      </c>
      <c r="F253" s="11" t="s">
        <v>310</v>
      </c>
      <c r="G253" s="12" t="s">
        <v>1092</v>
      </c>
      <c r="H253" s="11" t="s">
        <v>1093</v>
      </c>
      <c r="I253" s="11" t="s">
        <v>953</v>
      </c>
      <c r="J253" s="10"/>
      <c r="K253" s="10" t="s">
        <v>61</v>
      </c>
      <c r="L253" s="13" t="s">
        <v>62</v>
      </c>
      <c r="M253" s="14"/>
      <c r="N253" s="15" t="s">
        <v>1094</v>
      </c>
      <c r="O253" s="16"/>
      <c r="P253" s="14" t="s">
        <v>64</v>
      </c>
      <c r="Q253" s="17">
        <f t="shared" si="15"/>
        <v>2.5418833044482964E-2</v>
      </c>
      <c r="R253" s="11"/>
      <c r="S253" s="18">
        <f t="shared" si="12"/>
        <v>50.61</v>
      </c>
      <c r="T253" s="18">
        <f t="shared" si="13"/>
        <v>51.93</v>
      </c>
    </row>
    <row r="254" spans="1:20" ht="28.8" x14ac:dyDescent="0.3">
      <c r="A254" s="9" t="s">
        <v>1095</v>
      </c>
      <c r="B254" s="10" t="s">
        <v>950</v>
      </c>
      <c r="C254" s="10" t="s">
        <v>55</v>
      </c>
      <c r="D254" s="10">
        <v>15</v>
      </c>
      <c r="E254" s="10" t="s">
        <v>70</v>
      </c>
      <c r="F254" s="11" t="s">
        <v>324</v>
      </c>
      <c r="G254" s="12" t="s">
        <v>1096</v>
      </c>
      <c r="H254" s="11" t="s">
        <v>1097</v>
      </c>
      <c r="I254" s="11" t="s">
        <v>953</v>
      </c>
      <c r="J254" s="10"/>
      <c r="K254" s="10" t="s">
        <v>61</v>
      </c>
      <c r="L254" s="13" t="s">
        <v>62</v>
      </c>
      <c r="M254" s="14"/>
      <c r="N254" s="15" t="s">
        <v>1098</v>
      </c>
      <c r="O254" s="16"/>
      <c r="P254" s="14" t="s">
        <v>64</v>
      </c>
      <c r="Q254" s="17">
        <f t="shared" si="15"/>
        <v>2.2827041264267349E-3</v>
      </c>
      <c r="R254" s="11"/>
      <c r="S254" s="18">
        <f t="shared" si="12"/>
        <v>113.64</v>
      </c>
      <c r="T254" s="18">
        <f t="shared" si="13"/>
        <v>113.9</v>
      </c>
    </row>
    <row r="255" spans="1:20" ht="28.8" x14ac:dyDescent="0.3">
      <c r="A255" s="9" t="s">
        <v>1099</v>
      </c>
      <c r="B255" s="10" t="s">
        <v>950</v>
      </c>
      <c r="C255" s="10" t="s">
        <v>55</v>
      </c>
      <c r="D255" s="10">
        <v>15</v>
      </c>
      <c r="E255" s="10" t="s">
        <v>75</v>
      </c>
      <c r="F255" s="11" t="s">
        <v>324</v>
      </c>
      <c r="G255" s="12" t="s">
        <v>1100</v>
      </c>
      <c r="H255" s="11" t="s">
        <v>1101</v>
      </c>
      <c r="I255" s="11" t="s">
        <v>953</v>
      </c>
      <c r="J255" s="10"/>
      <c r="K255" s="10" t="s">
        <v>61</v>
      </c>
      <c r="L255" s="13" t="s">
        <v>62</v>
      </c>
      <c r="M255" s="14"/>
      <c r="N255" s="15" t="s">
        <v>1102</v>
      </c>
      <c r="O255" s="16"/>
      <c r="P255" s="14" t="s">
        <v>64</v>
      </c>
      <c r="Q255" s="17">
        <f t="shared" si="15"/>
        <v>8.7789305666400776E-3</v>
      </c>
      <c r="R255" s="11"/>
      <c r="S255" s="18">
        <f t="shared" si="12"/>
        <v>235.98</v>
      </c>
      <c r="T255" s="18">
        <f t="shared" si="13"/>
        <v>238.07</v>
      </c>
    </row>
    <row r="256" spans="1:20" ht="28.8" x14ac:dyDescent="0.3">
      <c r="A256" s="9" t="s">
        <v>1103</v>
      </c>
      <c r="B256" s="10" t="s">
        <v>950</v>
      </c>
      <c r="C256" s="10" t="s">
        <v>55</v>
      </c>
      <c r="D256" s="10">
        <v>15</v>
      </c>
      <c r="E256" s="10" t="s">
        <v>80</v>
      </c>
      <c r="F256" s="11" t="s">
        <v>324</v>
      </c>
      <c r="G256" s="12" t="s">
        <v>1104</v>
      </c>
      <c r="H256" s="11" t="s">
        <v>1105</v>
      </c>
      <c r="I256" s="11" t="s">
        <v>953</v>
      </c>
      <c r="J256" s="10"/>
      <c r="K256" s="10" t="s">
        <v>61</v>
      </c>
      <c r="L256" s="13" t="s">
        <v>62</v>
      </c>
      <c r="M256" s="14" t="s">
        <v>1747</v>
      </c>
      <c r="N256" s="15" t="s">
        <v>1106</v>
      </c>
      <c r="O256" s="16"/>
      <c r="P256" s="14" t="s">
        <v>64</v>
      </c>
      <c r="Q256" s="17">
        <f t="shared" si="15"/>
        <v>5.2867820690462669E-2</v>
      </c>
      <c r="R256" s="11"/>
      <c r="S256" s="18">
        <f t="shared" si="12"/>
        <v>485.32</v>
      </c>
      <c r="T256" s="18">
        <f t="shared" si="13"/>
        <v>512.41</v>
      </c>
    </row>
    <row r="257" spans="1:20" ht="28.8" x14ac:dyDescent="0.3">
      <c r="A257" s="9" t="s">
        <v>1107</v>
      </c>
      <c r="B257" s="10" t="s">
        <v>950</v>
      </c>
      <c r="C257" s="10" t="s">
        <v>55</v>
      </c>
      <c r="D257" s="10">
        <v>15</v>
      </c>
      <c r="E257" s="10" t="s">
        <v>86</v>
      </c>
      <c r="F257" s="11" t="s">
        <v>81</v>
      </c>
      <c r="G257" s="12" t="s">
        <v>1108</v>
      </c>
      <c r="H257" s="11" t="s">
        <v>1109</v>
      </c>
      <c r="I257" s="11" t="s">
        <v>953</v>
      </c>
      <c r="J257" s="10"/>
      <c r="K257" s="10" t="s">
        <v>61</v>
      </c>
      <c r="L257" s="13" t="s">
        <v>62</v>
      </c>
      <c r="M257" s="14"/>
      <c r="N257" s="15" t="s">
        <v>1110</v>
      </c>
      <c r="O257" s="16"/>
      <c r="P257" s="14" t="s">
        <v>64</v>
      </c>
      <c r="Q257" s="17">
        <f t="shared" si="15"/>
        <v>1.1708040014820247E-2</v>
      </c>
      <c r="R257" s="11"/>
      <c r="S257" s="18">
        <f t="shared" si="12"/>
        <v>933.59</v>
      </c>
      <c r="T257" s="18">
        <f t="shared" si="13"/>
        <v>944.65</v>
      </c>
    </row>
    <row r="258" spans="1:20" ht="28.8" x14ac:dyDescent="0.3">
      <c r="A258" s="9" t="s">
        <v>1111</v>
      </c>
      <c r="B258" s="10" t="s">
        <v>950</v>
      </c>
      <c r="C258" s="10" t="s">
        <v>55</v>
      </c>
      <c r="D258" s="10">
        <v>15</v>
      </c>
      <c r="E258" s="10" t="s">
        <v>92</v>
      </c>
      <c r="F258" s="11" t="s">
        <v>1112</v>
      </c>
      <c r="G258" s="12" t="s">
        <v>800</v>
      </c>
      <c r="H258" s="11" t="s">
        <v>1113</v>
      </c>
      <c r="I258" s="11" t="s">
        <v>953</v>
      </c>
      <c r="J258" s="10"/>
      <c r="K258" s="10" t="s">
        <v>61</v>
      </c>
      <c r="L258" s="13" t="s">
        <v>62</v>
      </c>
      <c r="M258" s="14"/>
      <c r="N258" s="15" t="s">
        <v>1114</v>
      </c>
      <c r="O258" s="16"/>
      <c r="P258" s="14" t="s">
        <v>64</v>
      </c>
      <c r="Q258" s="17">
        <f t="shared" si="15"/>
        <v>5.2691004892736386E-3</v>
      </c>
      <c r="R258" s="11"/>
      <c r="S258" s="18">
        <f t="shared" ref="S258:S321" si="16">IF(G258="","",IF(ISNUMBER(SEARCH(":",G258)),VALUE(LEFT(G258,SEARCH(":",G258)-1))*60+VALUE(MID(G258,SEARCH(":",G258)+1,99)),VALUE(G258)))</f>
        <v>26.43</v>
      </c>
      <c r="T258" s="18">
        <f t="shared" ref="T258:T321" si="17">IF(N258="","",IF(ISNUMBER(SEARCH(":",N258)),VALUE(LEFT(N258,SEARCH(":",N258)-1))*60+VALUE(MID(N258,SEARCH(":",N258)+1,99)),VALUE(N258)))</f>
        <v>26.57</v>
      </c>
    </row>
    <row r="259" spans="1:20" ht="28.8" x14ac:dyDescent="0.3">
      <c r="A259" s="9" t="s">
        <v>1115</v>
      </c>
      <c r="B259" s="10" t="s">
        <v>950</v>
      </c>
      <c r="C259" s="10" t="s">
        <v>55</v>
      </c>
      <c r="D259" s="10">
        <v>15</v>
      </c>
      <c r="E259" s="10" t="s">
        <v>98</v>
      </c>
      <c r="F259" s="11" t="s">
        <v>265</v>
      </c>
      <c r="G259" s="12" t="s">
        <v>1116</v>
      </c>
      <c r="H259" s="11" t="s">
        <v>1117</v>
      </c>
      <c r="I259" s="11" t="s">
        <v>953</v>
      </c>
      <c r="J259" s="10"/>
      <c r="K259" s="10" t="s">
        <v>61</v>
      </c>
      <c r="L259" s="13" t="s">
        <v>62</v>
      </c>
      <c r="M259" s="14"/>
      <c r="N259" s="15" t="s">
        <v>1118</v>
      </c>
      <c r="O259" s="16"/>
      <c r="P259" s="14" t="s">
        <v>64</v>
      </c>
      <c r="Q259" s="17">
        <f t="shared" si="15"/>
        <v>3.141361256544498E-3</v>
      </c>
      <c r="R259" s="11"/>
      <c r="S259" s="18">
        <f t="shared" si="16"/>
        <v>57.12</v>
      </c>
      <c r="T259" s="18">
        <f t="shared" si="17"/>
        <v>57.3</v>
      </c>
    </row>
    <row r="260" spans="1:20" ht="28.8" x14ac:dyDescent="0.3">
      <c r="A260" s="9" t="s">
        <v>1119</v>
      </c>
      <c r="B260" s="10" t="s">
        <v>950</v>
      </c>
      <c r="C260" s="10" t="s">
        <v>55</v>
      </c>
      <c r="D260" s="10">
        <v>15</v>
      </c>
      <c r="E260" s="10" t="s">
        <v>103</v>
      </c>
      <c r="F260" s="11" t="s">
        <v>978</v>
      </c>
      <c r="G260" s="12" t="s">
        <v>1120</v>
      </c>
      <c r="H260" s="11" t="s">
        <v>1055</v>
      </c>
      <c r="I260" s="11" t="s">
        <v>953</v>
      </c>
      <c r="J260" s="10"/>
      <c r="K260" s="10" t="s">
        <v>61</v>
      </c>
      <c r="L260" s="13" t="s">
        <v>62</v>
      </c>
      <c r="M260" s="14"/>
      <c r="N260" s="15" t="s">
        <v>1121</v>
      </c>
      <c r="O260" s="16"/>
      <c r="P260" s="14" t="s">
        <v>64</v>
      </c>
      <c r="Q260" s="17">
        <f t="shared" si="15"/>
        <v>3.8901045465597212E-3</v>
      </c>
      <c r="R260" s="11"/>
      <c r="S260" s="18">
        <f t="shared" si="16"/>
        <v>122.91</v>
      </c>
      <c r="T260" s="18">
        <f t="shared" si="17"/>
        <v>123.39</v>
      </c>
    </row>
    <row r="261" spans="1:20" ht="28.8" x14ac:dyDescent="0.3">
      <c r="A261" s="9" t="s">
        <v>1122</v>
      </c>
      <c r="B261" s="10" t="s">
        <v>950</v>
      </c>
      <c r="C261" s="10" t="s">
        <v>55</v>
      </c>
      <c r="D261" s="10">
        <v>15</v>
      </c>
      <c r="E261" s="10" t="s">
        <v>109</v>
      </c>
      <c r="F261" s="11" t="s">
        <v>1123</v>
      </c>
      <c r="G261" s="12" t="s">
        <v>1124</v>
      </c>
      <c r="H261" s="11" t="s">
        <v>1125</v>
      </c>
      <c r="I261" s="11" t="s">
        <v>953</v>
      </c>
      <c r="J261" s="10"/>
      <c r="K261" s="10" t="s">
        <v>61</v>
      </c>
      <c r="L261" s="13" t="s">
        <v>62</v>
      </c>
      <c r="M261" s="14"/>
      <c r="N261" s="15" t="s">
        <v>1126</v>
      </c>
      <c r="O261" s="16"/>
      <c r="P261" s="14" t="s">
        <v>64</v>
      </c>
      <c r="Q261" s="17">
        <f t="shared" ref="Q261:Q292" si="18">IF(OR(S261="",T261=""),"",(T261-S261)/T261)</f>
        <v>3.3795201081446916E-3</v>
      </c>
      <c r="R261" s="11"/>
      <c r="S261" s="18">
        <f t="shared" si="16"/>
        <v>29.49</v>
      </c>
      <c r="T261" s="18">
        <f t="shared" si="17"/>
        <v>29.59</v>
      </c>
    </row>
    <row r="262" spans="1:20" ht="28.8" x14ac:dyDescent="0.3">
      <c r="A262" s="9" t="s">
        <v>1127</v>
      </c>
      <c r="B262" s="10" t="s">
        <v>950</v>
      </c>
      <c r="C262" s="10" t="s">
        <v>55</v>
      </c>
      <c r="D262" s="10">
        <v>15</v>
      </c>
      <c r="E262" s="10" t="s">
        <v>115</v>
      </c>
      <c r="F262" s="11" t="s">
        <v>196</v>
      </c>
      <c r="G262" s="12" t="s">
        <v>1128</v>
      </c>
      <c r="H262" s="11" t="s">
        <v>969</v>
      </c>
      <c r="I262" s="11" t="s">
        <v>953</v>
      </c>
      <c r="J262" s="10"/>
      <c r="K262" s="10" t="s">
        <v>61</v>
      </c>
      <c r="L262" s="13" t="s">
        <v>62</v>
      </c>
      <c r="M262" s="14"/>
      <c r="N262" s="15" t="s">
        <v>1129</v>
      </c>
      <c r="O262" s="16"/>
      <c r="P262" s="14" t="s">
        <v>64</v>
      </c>
      <c r="Q262" s="17">
        <f t="shared" si="18"/>
        <v>1.3927576601671836E-3</v>
      </c>
      <c r="R262" s="11"/>
      <c r="S262" s="18">
        <f t="shared" si="16"/>
        <v>64.53</v>
      </c>
      <c r="T262" s="18">
        <f t="shared" si="17"/>
        <v>64.62</v>
      </c>
    </row>
    <row r="263" spans="1:20" ht="28.8" x14ac:dyDescent="0.3">
      <c r="A263" s="9" t="s">
        <v>1130</v>
      </c>
      <c r="B263" s="10" t="s">
        <v>950</v>
      </c>
      <c r="C263" s="10" t="s">
        <v>55</v>
      </c>
      <c r="D263" s="10">
        <v>15</v>
      </c>
      <c r="E263" s="10" t="s">
        <v>120</v>
      </c>
      <c r="F263" s="11" t="s">
        <v>284</v>
      </c>
      <c r="G263" s="12" t="s">
        <v>1131</v>
      </c>
      <c r="H263" s="11" t="s">
        <v>1132</v>
      </c>
      <c r="I263" s="11" t="s">
        <v>953</v>
      </c>
      <c r="J263" s="10"/>
      <c r="K263" s="10" t="s">
        <v>61</v>
      </c>
      <c r="L263" s="13" t="s">
        <v>62</v>
      </c>
      <c r="M263" s="14"/>
      <c r="N263" s="15" t="s">
        <v>1133</v>
      </c>
      <c r="O263" s="16"/>
      <c r="P263" s="14" t="s">
        <v>64</v>
      </c>
      <c r="Q263" s="17">
        <f t="shared" si="18"/>
        <v>2.8210734184357551E-3</v>
      </c>
      <c r="R263" s="11"/>
      <c r="S263" s="18">
        <f t="shared" si="16"/>
        <v>141.38999999999999</v>
      </c>
      <c r="T263" s="18">
        <f t="shared" si="17"/>
        <v>141.79</v>
      </c>
    </row>
    <row r="264" spans="1:20" ht="28.8" x14ac:dyDescent="0.3">
      <c r="A264" s="9" t="s">
        <v>1134</v>
      </c>
      <c r="B264" s="10" t="s">
        <v>950</v>
      </c>
      <c r="C264" s="10" t="s">
        <v>55</v>
      </c>
      <c r="D264" s="10">
        <v>15</v>
      </c>
      <c r="E264" s="10" t="s">
        <v>126</v>
      </c>
      <c r="F264" s="11" t="s">
        <v>265</v>
      </c>
      <c r="G264" s="12" t="s">
        <v>1135</v>
      </c>
      <c r="H264" s="11" t="s">
        <v>1117</v>
      </c>
      <c r="I264" s="11" t="s">
        <v>953</v>
      </c>
      <c r="J264" s="10"/>
      <c r="K264" s="10" t="s">
        <v>61</v>
      </c>
      <c r="L264" s="13" t="s">
        <v>62</v>
      </c>
      <c r="M264" s="14"/>
      <c r="N264" s="15" t="s">
        <v>1136</v>
      </c>
      <c r="O264" s="16"/>
      <c r="P264" s="14" t="s">
        <v>64</v>
      </c>
      <c r="Q264" s="17">
        <f t="shared" si="18"/>
        <v>4.7600158667195948E-3</v>
      </c>
      <c r="R264" s="11"/>
      <c r="S264" s="18">
        <f t="shared" si="16"/>
        <v>25.09</v>
      </c>
      <c r="T264" s="18">
        <f t="shared" si="17"/>
        <v>25.21</v>
      </c>
    </row>
    <row r="265" spans="1:20" ht="28.8" x14ac:dyDescent="0.3">
      <c r="A265" s="9" t="s">
        <v>1137</v>
      </c>
      <c r="B265" s="10" t="s">
        <v>950</v>
      </c>
      <c r="C265" s="10" t="s">
        <v>55</v>
      </c>
      <c r="D265" s="10">
        <v>15</v>
      </c>
      <c r="E265" s="10" t="s">
        <v>130</v>
      </c>
      <c r="F265" s="11" t="s">
        <v>324</v>
      </c>
      <c r="G265" s="12" t="s">
        <v>1138</v>
      </c>
      <c r="H265" s="11" t="s">
        <v>1097</v>
      </c>
      <c r="I265" s="11" t="s">
        <v>953</v>
      </c>
      <c r="J265" s="10"/>
      <c r="K265" s="10" t="s">
        <v>61</v>
      </c>
      <c r="L265" s="13" t="s">
        <v>62</v>
      </c>
      <c r="M265" s="14"/>
      <c r="N265" s="15" t="s">
        <v>1139</v>
      </c>
      <c r="O265" s="16"/>
      <c r="P265" s="14" t="s">
        <v>64</v>
      </c>
      <c r="Q265" s="17">
        <f t="shared" si="18"/>
        <v>5.2928722653492796E-3</v>
      </c>
      <c r="R265" s="11"/>
      <c r="S265" s="18">
        <f t="shared" si="16"/>
        <v>56.38</v>
      </c>
      <c r="T265" s="18">
        <f t="shared" si="17"/>
        <v>56.68</v>
      </c>
    </row>
    <row r="266" spans="1:20" ht="28.8" x14ac:dyDescent="0.3">
      <c r="A266" s="9" t="s">
        <v>1140</v>
      </c>
      <c r="B266" s="10" t="s">
        <v>950</v>
      </c>
      <c r="C266" s="10" t="s">
        <v>55</v>
      </c>
      <c r="D266" s="10">
        <v>15</v>
      </c>
      <c r="E266" s="10" t="s">
        <v>135</v>
      </c>
      <c r="F266" s="11" t="s">
        <v>104</v>
      </c>
      <c r="G266" s="12" t="s">
        <v>1141</v>
      </c>
      <c r="H266" s="11" t="s">
        <v>1142</v>
      </c>
      <c r="I266" s="11" t="s">
        <v>953</v>
      </c>
      <c r="J266" s="10"/>
      <c r="K266" s="10" t="s">
        <v>61</v>
      </c>
      <c r="L266" s="13" t="s">
        <v>62</v>
      </c>
      <c r="M266" s="14"/>
      <c r="N266" s="15" t="s">
        <v>1143</v>
      </c>
      <c r="O266" s="16"/>
      <c r="P266" s="14" t="s">
        <v>64</v>
      </c>
      <c r="Q266" s="17">
        <f t="shared" si="18"/>
        <v>2.0788530465949816E-2</v>
      </c>
      <c r="R266" s="11"/>
      <c r="S266" s="18">
        <f t="shared" si="16"/>
        <v>122.94</v>
      </c>
      <c r="T266" s="18">
        <f t="shared" si="17"/>
        <v>125.55</v>
      </c>
    </row>
    <row r="267" spans="1:20" ht="28.8" x14ac:dyDescent="0.3">
      <c r="A267" s="9" t="s">
        <v>1144</v>
      </c>
      <c r="B267" s="10" t="s">
        <v>950</v>
      </c>
      <c r="C267" s="10" t="s">
        <v>55</v>
      </c>
      <c r="D267" s="10">
        <v>15</v>
      </c>
      <c r="E267" s="10" t="s">
        <v>146</v>
      </c>
      <c r="F267" s="11" t="s">
        <v>104</v>
      </c>
      <c r="G267" s="12" t="s">
        <v>1075</v>
      </c>
      <c r="H267" s="11" t="s">
        <v>1145</v>
      </c>
      <c r="I267" s="11" t="s">
        <v>953</v>
      </c>
      <c r="J267" s="10"/>
      <c r="K267" s="10" t="s">
        <v>61</v>
      </c>
      <c r="L267" s="13" t="s">
        <v>62</v>
      </c>
      <c r="M267" s="14"/>
      <c r="N267" s="15" t="s">
        <v>1146</v>
      </c>
      <c r="O267" s="16"/>
      <c r="P267" s="14" t="s">
        <v>64</v>
      </c>
      <c r="Q267" s="17">
        <f t="shared" si="18"/>
        <v>6.2465838994298659E-4</v>
      </c>
      <c r="R267" s="11"/>
      <c r="S267" s="18">
        <f t="shared" si="16"/>
        <v>127.99</v>
      </c>
      <c r="T267" s="18">
        <f t="shared" si="17"/>
        <v>128.07</v>
      </c>
    </row>
    <row r="268" spans="1:20" ht="28.8" x14ac:dyDescent="0.3">
      <c r="A268" s="9" t="s">
        <v>1147</v>
      </c>
      <c r="B268" s="10" t="s">
        <v>950</v>
      </c>
      <c r="C268" s="10" t="s">
        <v>55</v>
      </c>
      <c r="D268" s="10">
        <v>15</v>
      </c>
      <c r="E268" s="10" t="s">
        <v>150</v>
      </c>
      <c r="F268" s="11" t="s">
        <v>104</v>
      </c>
      <c r="G268" s="12" t="s">
        <v>1148</v>
      </c>
      <c r="H268" s="11" t="s">
        <v>1149</v>
      </c>
      <c r="I268" s="11" t="s">
        <v>953</v>
      </c>
      <c r="J268" s="10"/>
      <c r="K268" s="10" t="s">
        <v>61</v>
      </c>
      <c r="L268" s="13" t="s">
        <v>62</v>
      </c>
      <c r="M268" s="14"/>
      <c r="N268" s="15" t="s">
        <v>1150</v>
      </c>
      <c r="O268" s="16"/>
      <c r="P268" s="14" t="s">
        <v>64</v>
      </c>
      <c r="Q268" s="17">
        <f t="shared" si="18"/>
        <v>1.6074697912852591E-2</v>
      </c>
      <c r="R268" s="11"/>
      <c r="S268" s="18">
        <f t="shared" si="16"/>
        <v>268.70999999999998</v>
      </c>
      <c r="T268" s="18">
        <f t="shared" si="17"/>
        <v>273.10000000000002</v>
      </c>
    </row>
    <row r="269" spans="1:20" ht="28.8" x14ac:dyDescent="0.3">
      <c r="A269" s="9" t="s">
        <v>1151</v>
      </c>
      <c r="B269" s="10" t="s">
        <v>950</v>
      </c>
      <c r="C269" s="10" t="s">
        <v>55</v>
      </c>
      <c r="D269" s="10">
        <v>16</v>
      </c>
      <c r="E269" s="10" t="s">
        <v>56</v>
      </c>
      <c r="F269" s="11" t="s">
        <v>310</v>
      </c>
      <c r="G269" s="12" t="s">
        <v>1152</v>
      </c>
      <c r="H269" s="11" t="s">
        <v>1113</v>
      </c>
      <c r="I269" s="11" t="s">
        <v>953</v>
      </c>
      <c r="J269" s="10"/>
      <c r="K269" s="10" t="s">
        <v>61</v>
      </c>
      <c r="L269" s="13" t="s">
        <v>62</v>
      </c>
      <c r="M269" s="14"/>
      <c r="N269" s="15" t="s">
        <v>1153</v>
      </c>
      <c r="O269" s="16"/>
      <c r="P269" s="14" t="s">
        <v>64</v>
      </c>
      <c r="Q269" s="17">
        <f t="shared" si="18"/>
        <v>2.7850304612706725E-2</v>
      </c>
      <c r="R269" s="11"/>
      <c r="S269" s="18">
        <f t="shared" si="16"/>
        <v>22.34</v>
      </c>
      <c r="T269" s="18">
        <f t="shared" si="17"/>
        <v>22.98</v>
      </c>
    </row>
    <row r="270" spans="1:20" ht="28.8" x14ac:dyDescent="0.3">
      <c r="A270" s="9" t="s">
        <v>1154</v>
      </c>
      <c r="B270" s="10" t="s">
        <v>950</v>
      </c>
      <c r="C270" s="10" t="s">
        <v>55</v>
      </c>
      <c r="D270" s="10">
        <v>16</v>
      </c>
      <c r="E270" s="10" t="s">
        <v>66</v>
      </c>
      <c r="F270" s="11" t="s">
        <v>310</v>
      </c>
      <c r="G270" s="12" t="s">
        <v>1155</v>
      </c>
      <c r="H270" s="11" t="s">
        <v>1156</v>
      </c>
      <c r="I270" s="11" t="s">
        <v>953</v>
      </c>
      <c r="J270" s="10"/>
      <c r="K270" s="10" t="s">
        <v>61</v>
      </c>
      <c r="L270" s="13" t="s">
        <v>62</v>
      </c>
      <c r="M270" s="14"/>
      <c r="N270" s="15" t="s">
        <v>1157</v>
      </c>
      <c r="O270" s="16"/>
      <c r="P270" s="14" t="s">
        <v>64</v>
      </c>
      <c r="Q270" s="17">
        <f t="shared" si="18"/>
        <v>5.9183270862102422E-3</v>
      </c>
      <c r="R270" s="11"/>
      <c r="S270" s="18">
        <f t="shared" si="16"/>
        <v>50.39</v>
      </c>
      <c r="T270" s="18">
        <f t="shared" si="17"/>
        <v>50.69</v>
      </c>
    </row>
    <row r="271" spans="1:20" ht="28.8" x14ac:dyDescent="0.3">
      <c r="A271" s="9" t="s">
        <v>1158</v>
      </c>
      <c r="B271" s="10" t="s">
        <v>950</v>
      </c>
      <c r="C271" s="10" t="s">
        <v>55</v>
      </c>
      <c r="D271" s="10">
        <v>16</v>
      </c>
      <c r="E271" s="10" t="s">
        <v>70</v>
      </c>
      <c r="F271" s="11" t="s">
        <v>187</v>
      </c>
      <c r="G271" s="12" t="s">
        <v>1159</v>
      </c>
      <c r="H271" s="11" t="s">
        <v>1160</v>
      </c>
      <c r="I271" s="11" t="s">
        <v>953</v>
      </c>
      <c r="J271" s="10"/>
      <c r="K271" s="10" t="s">
        <v>61</v>
      </c>
      <c r="L271" s="13" t="s">
        <v>62</v>
      </c>
      <c r="M271" s="14"/>
      <c r="N271" s="15" t="s">
        <v>1161</v>
      </c>
      <c r="O271" s="16"/>
      <c r="P271" s="14" t="s">
        <v>64</v>
      </c>
      <c r="Q271" s="17">
        <f t="shared" si="18"/>
        <v>8.017817371937689E-3</v>
      </c>
      <c r="R271" s="11"/>
      <c r="S271" s="18">
        <f t="shared" si="16"/>
        <v>111.35</v>
      </c>
      <c r="T271" s="18">
        <f t="shared" si="17"/>
        <v>112.25</v>
      </c>
    </row>
    <row r="272" spans="1:20" ht="28.8" x14ac:dyDescent="0.3">
      <c r="A272" s="9" t="s">
        <v>1162</v>
      </c>
      <c r="B272" s="10" t="s">
        <v>950</v>
      </c>
      <c r="C272" s="10" t="s">
        <v>55</v>
      </c>
      <c r="D272" s="10">
        <v>16</v>
      </c>
      <c r="E272" s="10" t="s">
        <v>75</v>
      </c>
      <c r="F272" s="11" t="s">
        <v>324</v>
      </c>
      <c r="G272" s="12" t="s">
        <v>1163</v>
      </c>
      <c r="H272" s="11" t="s">
        <v>1164</v>
      </c>
      <c r="I272" s="11" t="s">
        <v>953</v>
      </c>
      <c r="J272" s="10"/>
      <c r="K272" s="10" t="s">
        <v>61</v>
      </c>
      <c r="L272" s="13" t="s">
        <v>62</v>
      </c>
      <c r="M272" s="14"/>
      <c r="N272" s="15" t="s">
        <v>1165</v>
      </c>
      <c r="O272" s="16"/>
      <c r="P272" s="14" t="s">
        <v>64</v>
      </c>
      <c r="Q272" s="17">
        <f t="shared" si="18"/>
        <v>1.4459346186085452E-2</v>
      </c>
      <c r="R272" s="11"/>
      <c r="S272" s="18">
        <f t="shared" si="16"/>
        <v>235.15</v>
      </c>
      <c r="T272" s="18">
        <f t="shared" si="17"/>
        <v>238.6</v>
      </c>
    </row>
    <row r="273" spans="1:20" ht="28.8" x14ac:dyDescent="0.3">
      <c r="A273" s="9" t="s">
        <v>1166</v>
      </c>
      <c r="B273" s="10" t="s">
        <v>950</v>
      </c>
      <c r="C273" s="10" t="s">
        <v>55</v>
      </c>
      <c r="D273" s="10">
        <v>16</v>
      </c>
      <c r="E273" s="10" t="s">
        <v>80</v>
      </c>
      <c r="F273" s="11" t="s">
        <v>473</v>
      </c>
      <c r="G273" s="12" t="s">
        <v>1104</v>
      </c>
      <c r="H273" s="11"/>
      <c r="I273" s="11" t="s">
        <v>953</v>
      </c>
      <c r="J273" s="10"/>
      <c r="K273" s="10" t="s">
        <v>61</v>
      </c>
      <c r="L273" s="13" t="s">
        <v>475</v>
      </c>
      <c r="M273" s="22"/>
      <c r="N273" s="23" t="s">
        <v>1167</v>
      </c>
      <c r="O273" s="24"/>
      <c r="P273" s="22" t="s">
        <v>477</v>
      </c>
      <c r="Q273" s="17">
        <f t="shared" si="18"/>
        <v>1.2071246819338436E-2</v>
      </c>
      <c r="R273" s="11" t="s">
        <v>478</v>
      </c>
      <c r="S273" s="18">
        <f t="shared" si="16"/>
        <v>485.32</v>
      </c>
      <c r="T273" s="18">
        <f t="shared" si="17"/>
        <v>491.25</v>
      </c>
    </row>
    <row r="274" spans="1:20" ht="28.8" x14ac:dyDescent="0.3">
      <c r="A274" s="9" t="s">
        <v>1168</v>
      </c>
      <c r="B274" s="10" t="s">
        <v>950</v>
      </c>
      <c r="C274" s="10" t="s">
        <v>55</v>
      </c>
      <c r="D274" s="10">
        <v>16</v>
      </c>
      <c r="E274" s="10" t="s">
        <v>86</v>
      </c>
      <c r="F274" s="11" t="s">
        <v>81</v>
      </c>
      <c r="G274" s="12" t="s">
        <v>1169</v>
      </c>
      <c r="H274" s="11" t="s">
        <v>1170</v>
      </c>
      <c r="I274" s="11" t="s">
        <v>953</v>
      </c>
      <c r="J274" s="10"/>
      <c r="K274" s="10" t="s">
        <v>61</v>
      </c>
      <c r="L274" s="13" t="s">
        <v>62</v>
      </c>
      <c r="M274" s="14"/>
      <c r="N274" s="15" t="s">
        <v>1171</v>
      </c>
      <c r="O274" s="16"/>
      <c r="P274" s="14" t="s">
        <v>64</v>
      </c>
      <c r="Q274" s="17">
        <f t="shared" si="18"/>
        <v>6.6710003303530416E-3</v>
      </c>
      <c r="R274" s="11"/>
      <c r="S274" s="18">
        <f t="shared" si="16"/>
        <v>932.13</v>
      </c>
      <c r="T274" s="18">
        <f t="shared" si="17"/>
        <v>938.39</v>
      </c>
    </row>
    <row r="275" spans="1:20" ht="28.8" x14ac:dyDescent="0.3">
      <c r="A275" s="9" t="s">
        <v>1172</v>
      </c>
      <c r="B275" s="10" t="s">
        <v>950</v>
      </c>
      <c r="C275" s="10" t="s">
        <v>55</v>
      </c>
      <c r="D275" s="10">
        <v>16</v>
      </c>
      <c r="E275" s="10" t="s">
        <v>92</v>
      </c>
      <c r="F275" s="11" t="s">
        <v>336</v>
      </c>
      <c r="G275" s="12" t="s">
        <v>1173</v>
      </c>
      <c r="H275" s="11" t="s">
        <v>1174</v>
      </c>
      <c r="I275" s="11" t="s">
        <v>953</v>
      </c>
      <c r="J275" s="10"/>
      <c r="K275" s="10" t="s">
        <v>61</v>
      </c>
      <c r="L275" s="13" t="s">
        <v>62</v>
      </c>
      <c r="M275" s="14"/>
      <c r="N275" s="15" t="s">
        <v>1175</v>
      </c>
      <c r="O275" s="16"/>
      <c r="P275" s="14" t="s">
        <v>64</v>
      </c>
      <c r="Q275" s="17">
        <f t="shared" si="18"/>
        <v>1.6331181162172418E-2</v>
      </c>
      <c r="R275" s="11"/>
      <c r="S275" s="18">
        <f t="shared" si="16"/>
        <v>25.9</v>
      </c>
      <c r="T275" s="18">
        <f t="shared" si="17"/>
        <v>26.33</v>
      </c>
    </row>
    <row r="276" spans="1:20" ht="28.8" x14ac:dyDescent="0.3">
      <c r="A276" s="9" t="s">
        <v>1176</v>
      </c>
      <c r="B276" s="10" t="s">
        <v>950</v>
      </c>
      <c r="C276" s="10" t="s">
        <v>55</v>
      </c>
      <c r="D276" s="10">
        <v>16</v>
      </c>
      <c r="E276" s="10" t="s">
        <v>98</v>
      </c>
      <c r="F276" s="11" t="s">
        <v>1177</v>
      </c>
      <c r="G276" s="12" t="s">
        <v>1178</v>
      </c>
      <c r="H276" s="11" t="s">
        <v>1179</v>
      </c>
      <c r="I276" s="11" t="s">
        <v>953</v>
      </c>
      <c r="J276" s="10"/>
      <c r="K276" s="10" t="s">
        <v>61</v>
      </c>
      <c r="L276" s="13" t="s">
        <v>62</v>
      </c>
      <c r="M276" s="14"/>
      <c r="N276" s="15" t="s">
        <v>1180</v>
      </c>
      <c r="O276" s="16"/>
      <c r="P276" s="14" t="s">
        <v>64</v>
      </c>
      <c r="Q276" s="17">
        <f t="shared" si="18"/>
        <v>3.5391966023705579E-4</v>
      </c>
      <c r="R276" s="11"/>
      <c r="S276" s="18">
        <f t="shared" si="16"/>
        <v>56.49</v>
      </c>
      <c r="T276" s="18">
        <f t="shared" si="17"/>
        <v>56.51</v>
      </c>
    </row>
    <row r="277" spans="1:20" ht="28.8" x14ac:dyDescent="0.3">
      <c r="A277" s="9" t="s">
        <v>1181</v>
      </c>
      <c r="B277" s="10" t="s">
        <v>950</v>
      </c>
      <c r="C277" s="10" t="s">
        <v>55</v>
      </c>
      <c r="D277" s="10">
        <v>16</v>
      </c>
      <c r="E277" s="10" t="s">
        <v>103</v>
      </c>
      <c r="F277" s="11" t="s">
        <v>104</v>
      </c>
      <c r="G277" s="12" t="s">
        <v>1182</v>
      </c>
      <c r="H277" s="11" t="s">
        <v>1183</v>
      </c>
      <c r="I277" s="11" t="s">
        <v>953</v>
      </c>
      <c r="J277" s="10"/>
      <c r="K277" s="10" t="s">
        <v>61</v>
      </c>
      <c r="L277" s="13" t="s">
        <v>62</v>
      </c>
      <c r="M277" s="14"/>
      <c r="N277" s="15" t="s">
        <v>1184</v>
      </c>
      <c r="O277" s="16"/>
      <c r="P277" s="14" t="s">
        <v>64</v>
      </c>
      <c r="Q277" s="17">
        <f t="shared" si="18"/>
        <v>1.927926462214272E-2</v>
      </c>
      <c r="R277" s="11"/>
      <c r="S277" s="18">
        <f t="shared" si="16"/>
        <v>120.56</v>
      </c>
      <c r="T277" s="18">
        <f t="shared" si="17"/>
        <v>122.93</v>
      </c>
    </row>
    <row r="278" spans="1:20" ht="28.8" x14ac:dyDescent="0.3">
      <c r="A278" s="9" t="s">
        <v>1185</v>
      </c>
      <c r="B278" s="10" t="s">
        <v>950</v>
      </c>
      <c r="C278" s="10" t="s">
        <v>55</v>
      </c>
      <c r="D278" s="10">
        <v>16</v>
      </c>
      <c r="E278" s="10" t="s">
        <v>109</v>
      </c>
      <c r="F278" s="11" t="s">
        <v>196</v>
      </c>
      <c r="G278" s="12" t="s">
        <v>1186</v>
      </c>
      <c r="H278" s="11" t="s">
        <v>1187</v>
      </c>
      <c r="I278" s="11" t="s">
        <v>953</v>
      </c>
      <c r="J278" s="10"/>
      <c r="K278" s="10" t="s">
        <v>61</v>
      </c>
      <c r="L278" s="13" t="s">
        <v>62</v>
      </c>
      <c r="M278" s="14"/>
      <c r="N278" s="15" t="s">
        <v>1188</v>
      </c>
      <c r="O278" s="16"/>
      <c r="P278" s="14" t="s">
        <v>64</v>
      </c>
      <c r="Q278" s="17">
        <f t="shared" si="18"/>
        <v>3.131524008350726E-3</v>
      </c>
      <c r="R278" s="11"/>
      <c r="S278" s="18">
        <f t="shared" si="16"/>
        <v>28.65</v>
      </c>
      <c r="T278" s="18">
        <f t="shared" si="17"/>
        <v>28.74</v>
      </c>
    </row>
    <row r="279" spans="1:20" ht="28.8" x14ac:dyDescent="0.3">
      <c r="A279" s="9" t="s">
        <v>1189</v>
      </c>
      <c r="B279" s="10" t="s">
        <v>950</v>
      </c>
      <c r="C279" s="10" t="s">
        <v>55</v>
      </c>
      <c r="D279" s="10">
        <v>16</v>
      </c>
      <c r="E279" s="10" t="s">
        <v>115</v>
      </c>
      <c r="F279" s="11" t="s">
        <v>196</v>
      </c>
      <c r="G279" s="12" t="s">
        <v>1190</v>
      </c>
      <c r="H279" s="11" t="s">
        <v>1191</v>
      </c>
      <c r="I279" s="11" t="s">
        <v>953</v>
      </c>
      <c r="J279" s="10"/>
      <c r="K279" s="10" t="s">
        <v>61</v>
      </c>
      <c r="L279" s="13" t="s">
        <v>62</v>
      </c>
      <c r="M279" s="14"/>
      <c r="N279" s="15" t="s">
        <v>1192</v>
      </c>
      <c r="O279" s="16"/>
      <c r="P279" s="14" t="s">
        <v>64</v>
      </c>
      <c r="Q279" s="17">
        <f t="shared" si="18"/>
        <v>6.8707058088695316E-3</v>
      </c>
      <c r="R279" s="11"/>
      <c r="S279" s="18">
        <f t="shared" si="16"/>
        <v>63.6</v>
      </c>
      <c r="T279" s="18">
        <f t="shared" si="17"/>
        <v>64.040000000000006</v>
      </c>
    </row>
    <row r="280" spans="1:20" ht="28.8" x14ac:dyDescent="0.3">
      <c r="A280" s="9" t="s">
        <v>1193</v>
      </c>
      <c r="B280" s="10" t="s">
        <v>950</v>
      </c>
      <c r="C280" s="10" t="s">
        <v>55</v>
      </c>
      <c r="D280" s="10">
        <v>16</v>
      </c>
      <c r="E280" s="10" t="s">
        <v>120</v>
      </c>
      <c r="F280" s="11" t="s">
        <v>506</v>
      </c>
      <c r="G280" s="12" t="s">
        <v>1194</v>
      </c>
      <c r="H280" s="11" t="s">
        <v>1195</v>
      </c>
      <c r="I280" s="11" t="s">
        <v>953</v>
      </c>
      <c r="J280" s="10"/>
      <c r="K280" s="10" t="s">
        <v>61</v>
      </c>
      <c r="L280" s="13" t="s">
        <v>62</v>
      </c>
      <c r="M280" s="14"/>
      <c r="N280" s="15" t="s">
        <v>1196</v>
      </c>
      <c r="O280" s="16"/>
      <c r="P280" s="14" t="s">
        <v>64</v>
      </c>
      <c r="Q280" s="17">
        <f t="shared" si="18"/>
        <v>1.5871881032387208E-2</v>
      </c>
      <c r="R280" s="11"/>
      <c r="S280" s="18">
        <f t="shared" si="16"/>
        <v>137.65</v>
      </c>
      <c r="T280" s="18">
        <f t="shared" si="17"/>
        <v>139.87</v>
      </c>
    </row>
    <row r="281" spans="1:20" ht="28.8" x14ac:dyDescent="0.3">
      <c r="A281" s="9" t="s">
        <v>1197</v>
      </c>
      <c r="B281" s="10" t="s">
        <v>950</v>
      </c>
      <c r="C281" s="10" t="s">
        <v>55</v>
      </c>
      <c r="D281" s="10">
        <v>16</v>
      </c>
      <c r="E281" s="10" t="s">
        <v>126</v>
      </c>
      <c r="F281" s="11" t="s">
        <v>515</v>
      </c>
      <c r="G281" s="12" t="s">
        <v>63</v>
      </c>
      <c r="H281" s="11" t="s">
        <v>1198</v>
      </c>
      <c r="I281" s="11" t="s">
        <v>953</v>
      </c>
      <c r="J281" s="10"/>
      <c r="K281" s="10" t="s">
        <v>61</v>
      </c>
      <c r="L281" s="13" t="s">
        <v>62</v>
      </c>
      <c r="M281" s="14" t="s">
        <v>1767</v>
      </c>
      <c r="N281" s="15" t="s">
        <v>1199</v>
      </c>
      <c r="O281" s="16"/>
      <c r="P281" s="14" t="s">
        <v>64</v>
      </c>
      <c r="Q281" s="17">
        <f t="shared" si="18"/>
        <v>2.9659318637274487E-2</v>
      </c>
      <c r="R281" s="11"/>
      <c r="S281" s="18">
        <f t="shared" si="16"/>
        <v>24.21</v>
      </c>
      <c r="T281" s="18">
        <f t="shared" si="17"/>
        <v>24.95</v>
      </c>
    </row>
    <row r="282" spans="1:20" ht="28.8" x14ac:dyDescent="0.3">
      <c r="A282" s="9" t="s">
        <v>1200</v>
      </c>
      <c r="B282" s="10" t="s">
        <v>950</v>
      </c>
      <c r="C282" s="10" t="s">
        <v>55</v>
      </c>
      <c r="D282" s="10">
        <v>16</v>
      </c>
      <c r="E282" s="10" t="s">
        <v>130</v>
      </c>
      <c r="F282" s="11" t="s">
        <v>515</v>
      </c>
      <c r="G282" s="12" t="s">
        <v>1201</v>
      </c>
      <c r="H282" s="11" t="s">
        <v>1202</v>
      </c>
      <c r="I282" s="11" t="s">
        <v>953</v>
      </c>
      <c r="J282" s="10"/>
      <c r="K282" s="10" t="s">
        <v>61</v>
      </c>
      <c r="L282" s="13" t="s">
        <v>62</v>
      </c>
      <c r="M282" s="14"/>
      <c r="N282" s="15" t="s">
        <v>1203</v>
      </c>
      <c r="O282" s="16"/>
      <c r="P282" s="14" t="s">
        <v>64</v>
      </c>
      <c r="Q282" s="17">
        <f t="shared" si="18"/>
        <v>2.8161337209302275E-2</v>
      </c>
      <c r="R282" s="11"/>
      <c r="S282" s="18">
        <f t="shared" si="16"/>
        <v>53.49</v>
      </c>
      <c r="T282" s="18">
        <f t="shared" si="17"/>
        <v>55.04</v>
      </c>
    </row>
    <row r="283" spans="1:20" ht="28.8" x14ac:dyDescent="0.3">
      <c r="A283" s="9" t="s">
        <v>1204</v>
      </c>
      <c r="B283" s="10" t="s">
        <v>950</v>
      </c>
      <c r="C283" s="10" t="s">
        <v>55</v>
      </c>
      <c r="D283" s="10">
        <v>16</v>
      </c>
      <c r="E283" s="10" t="s">
        <v>135</v>
      </c>
      <c r="F283" s="11" t="s">
        <v>104</v>
      </c>
      <c r="G283" s="12" t="s">
        <v>1205</v>
      </c>
      <c r="H283" s="11" t="s">
        <v>1206</v>
      </c>
      <c r="I283" s="11" t="s">
        <v>953</v>
      </c>
      <c r="J283" s="10"/>
      <c r="K283" s="10" t="s">
        <v>61</v>
      </c>
      <c r="L283" s="13" t="s">
        <v>62</v>
      </c>
      <c r="M283" s="14"/>
      <c r="N283" s="15" t="s">
        <v>1207</v>
      </c>
      <c r="O283" s="16"/>
      <c r="P283" s="14" t="s">
        <v>64</v>
      </c>
      <c r="Q283" s="17">
        <f t="shared" si="18"/>
        <v>1.0796999917580171E-2</v>
      </c>
      <c r="R283" s="11"/>
      <c r="S283" s="18">
        <f t="shared" si="16"/>
        <v>120.02</v>
      </c>
      <c r="T283" s="18">
        <f t="shared" si="17"/>
        <v>121.33</v>
      </c>
    </row>
    <row r="284" spans="1:20" ht="28.8" x14ac:dyDescent="0.3">
      <c r="A284" s="9" t="s">
        <v>1208</v>
      </c>
      <c r="B284" s="10" t="s">
        <v>950</v>
      </c>
      <c r="C284" s="10" t="s">
        <v>55</v>
      </c>
      <c r="D284" s="10">
        <v>16</v>
      </c>
      <c r="E284" s="10" t="s">
        <v>146</v>
      </c>
      <c r="F284" s="11" t="s">
        <v>104</v>
      </c>
      <c r="G284" s="12" t="s">
        <v>1209</v>
      </c>
      <c r="H284" s="11" t="s">
        <v>1210</v>
      </c>
      <c r="I284" s="11" t="s">
        <v>953</v>
      </c>
      <c r="J284" s="10"/>
      <c r="K284" s="10" t="s">
        <v>61</v>
      </c>
      <c r="L284" s="13" t="s">
        <v>62</v>
      </c>
      <c r="M284" s="14"/>
      <c r="N284" s="15" t="s">
        <v>1211</v>
      </c>
      <c r="O284" s="16"/>
      <c r="P284" s="14" t="s">
        <v>64</v>
      </c>
      <c r="Q284" s="17">
        <f t="shared" si="18"/>
        <v>1.4555689585846306E-2</v>
      </c>
      <c r="R284" s="11"/>
      <c r="S284" s="18">
        <f t="shared" si="16"/>
        <v>122.54</v>
      </c>
      <c r="T284" s="18">
        <f t="shared" si="17"/>
        <v>124.35</v>
      </c>
    </row>
    <row r="285" spans="1:20" ht="28.8" x14ac:dyDescent="0.3">
      <c r="A285" s="9" t="s">
        <v>1212</v>
      </c>
      <c r="B285" s="10" t="s">
        <v>950</v>
      </c>
      <c r="C285" s="10" t="s">
        <v>55</v>
      </c>
      <c r="D285" s="10">
        <v>16</v>
      </c>
      <c r="E285" s="10" t="s">
        <v>150</v>
      </c>
      <c r="F285" s="11" t="s">
        <v>104</v>
      </c>
      <c r="G285" s="12" t="s">
        <v>1213</v>
      </c>
      <c r="H285" s="11" t="s">
        <v>1214</v>
      </c>
      <c r="I285" s="11" t="s">
        <v>953</v>
      </c>
      <c r="J285" s="10"/>
      <c r="K285" s="10" t="s">
        <v>61</v>
      </c>
      <c r="L285" s="13" t="s">
        <v>62</v>
      </c>
      <c r="M285" s="14"/>
      <c r="N285" s="15" t="s">
        <v>1215</v>
      </c>
      <c r="O285" s="16"/>
      <c r="P285" s="14" t="s">
        <v>64</v>
      </c>
      <c r="Q285" s="17">
        <f t="shared" si="18"/>
        <v>1.8109490433794177E-2</v>
      </c>
      <c r="R285" s="11"/>
      <c r="S285" s="18">
        <f t="shared" si="16"/>
        <v>259.17</v>
      </c>
      <c r="T285" s="18">
        <f t="shared" si="17"/>
        <v>263.95</v>
      </c>
    </row>
    <row r="286" spans="1:20" ht="28.8" x14ac:dyDescent="0.3">
      <c r="A286" s="9" t="s">
        <v>1216</v>
      </c>
      <c r="B286" s="10" t="s">
        <v>950</v>
      </c>
      <c r="C286" s="10" t="s">
        <v>55</v>
      </c>
      <c r="D286" s="10">
        <v>17</v>
      </c>
      <c r="E286" s="10" t="s">
        <v>56</v>
      </c>
      <c r="F286" s="11" t="s">
        <v>1217</v>
      </c>
      <c r="G286" s="12" t="s">
        <v>1218</v>
      </c>
      <c r="H286" s="11" t="s">
        <v>628</v>
      </c>
      <c r="I286" s="11" t="s">
        <v>953</v>
      </c>
      <c r="J286" s="10"/>
      <c r="K286" s="10" t="s">
        <v>61</v>
      </c>
      <c r="L286" s="13" t="s">
        <v>62</v>
      </c>
      <c r="M286" s="14"/>
      <c r="N286" s="15" t="s">
        <v>1219</v>
      </c>
      <c r="O286" s="16"/>
      <c r="P286" s="14" t="s">
        <v>64</v>
      </c>
      <c r="Q286" s="17">
        <f t="shared" si="18"/>
        <v>4.0071237756010621E-3</v>
      </c>
      <c r="R286" s="11"/>
      <c r="S286" s="18">
        <f t="shared" si="16"/>
        <v>22.37</v>
      </c>
      <c r="T286" s="18">
        <f t="shared" si="17"/>
        <v>22.46</v>
      </c>
    </row>
    <row r="287" spans="1:20" ht="28.8" x14ac:dyDescent="0.3">
      <c r="A287" s="9" t="s">
        <v>1220</v>
      </c>
      <c r="B287" s="10" t="s">
        <v>950</v>
      </c>
      <c r="C287" s="10" t="s">
        <v>55</v>
      </c>
      <c r="D287" s="10">
        <v>17</v>
      </c>
      <c r="E287" s="10" t="s">
        <v>66</v>
      </c>
      <c r="F287" s="11" t="s">
        <v>1221</v>
      </c>
      <c r="G287" s="12" t="s">
        <v>1222</v>
      </c>
      <c r="H287" s="11" t="s">
        <v>1223</v>
      </c>
      <c r="I287" s="11" t="s">
        <v>953</v>
      </c>
      <c r="J287" s="10"/>
      <c r="K287" s="10" t="s">
        <v>61</v>
      </c>
      <c r="L287" s="13" t="s">
        <v>62</v>
      </c>
      <c r="M287" s="14"/>
      <c r="N287" s="15" t="s">
        <v>245</v>
      </c>
      <c r="O287" s="16"/>
      <c r="P287" s="14" t="s">
        <v>64</v>
      </c>
      <c r="Q287" s="17">
        <f t="shared" si="18"/>
        <v>3.3803937164446551E-3</v>
      </c>
      <c r="R287" s="11"/>
      <c r="S287" s="18">
        <f t="shared" si="16"/>
        <v>50.12</v>
      </c>
      <c r="T287" s="18">
        <f t="shared" si="17"/>
        <v>50.29</v>
      </c>
    </row>
    <row r="288" spans="1:20" ht="28.8" x14ac:dyDescent="0.3">
      <c r="A288" s="9" t="s">
        <v>1224</v>
      </c>
      <c r="B288" s="10" t="s">
        <v>950</v>
      </c>
      <c r="C288" s="10" t="s">
        <v>55</v>
      </c>
      <c r="D288" s="10">
        <v>17</v>
      </c>
      <c r="E288" s="10" t="s">
        <v>70</v>
      </c>
      <c r="F288" s="11" t="s">
        <v>104</v>
      </c>
      <c r="G288" s="12" t="s">
        <v>1225</v>
      </c>
      <c r="H288" s="11" t="s">
        <v>1226</v>
      </c>
      <c r="I288" s="11" t="s">
        <v>953</v>
      </c>
      <c r="J288" s="10"/>
      <c r="K288" s="10" t="s">
        <v>61</v>
      </c>
      <c r="L288" s="13" t="s">
        <v>62</v>
      </c>
      <c r="M288" s="14"/>
      <c r="N288" s="15" t="s">
        <v>1227</v>
      </c>
      <c r="O288" s="16"/>
      <c r="P288" s="14" t="s">
        <v>64</v>
      </c>
      <c r="Q288" s="17">
        <f t="shared" si="18"/>
        <v>3.2374100719424407E-3</v>
      </c>
      <c r="R288" s="11"/>
      <c r="S288" s="18">
        <f t="shared" si="16"/>
        <v>110.84</v>
      </c>
      <c r="T288" s="18">
        <f t="shared" si="17"/>
        <v>111.2</v>
      </c>
    </row>
    <row r="289" spans="1:20" ht="28.8" x14ac:dyDescent="0.3">
      <c r="A289" s="9" t="s">
        <v>1228</v>
      </c>
      <c r="B289" s="10" t="s">
        <v>950</v>
      </c>
      <c r="C289" s="10" t="s">
        <v>55</v>
      </c>
      <c r="D289" s="10">
        <v>17</v>
      </c>
      <c r="E289" s="10" t="s">
        <v>75</v>
      </c>
      <c r="F289" s="11" t="s">
        <v>324</v>
      </c>
      <c r="G289" s="12" t="s">
        <v>1229</v>
      </c>
      <c r="H289" s="11" t="s">
        <v>1230</v>
      </c>
      <c r="I289" s="11" t="s">
        <v>953</v>
      </c>
      <c r="J289" s="10"/>
      <c r="K289" s="10" t="s">
        <v>61</v>
      </c>
      <c r="L289" s="13" t="s">
        <v>62</v>
      </c>
      <c r="M289" s="14"/>
      <c r="N289" s="15" t="s">
        <v>1231</v>
      </c>
      <c r="O289" s="16"/>
      <c r="P289" s="14" t="s">
        <v>64</v>
      </c>
      <c r="Q289" s="17">
        <f t="shared" si="18"/>
        <v>9.3904802929140937E-3</v>
      </c>
      <c r="R289" s="11"/>
      <c r="S289" s="18">
        <f t="shared" si="16"/>
        <v>229.97</v>
      </c>
      <c r="T289" s="18">
        <f t="shared" si="17"/>
        <v>232.15</v>
      </c>
    </row>
    <row r="290" spans="1:20" ht="28.8" x14ac:dyDescent="0.3">
      <c r="A290" s="9" t="s">
        <v>1232</v>
      </c>
      <c r="B290" s="10" t="s">
        <v>950</v>
      </c>
      <c r="C290" s="10" t="s">
        <v>55</v>
      </c>
      <c r="D290" s="10">
        <v>17</v>
      </c>
      <c r="E290" s="10" t="s">
        <v>80</v>
      </c>
      <c r="F290" s="11" t="s">
        <v>473</v>
      </c>
      <c r="G290" s="12" t="s">
        <v>1104</v>
      </c>
      <c r="H290" s="11" t="s">
        <v>1233</v>
      </c>
      <c r="I290" s="11" t="s">
        <v>953</v>
      </c>
      <c r="J290" s="10"/>
      <c r="K290" s="10" t="s">
        <v>61</v>
      </c>
      <c r="L290" s="13" t="s">
        <v>475</v>
      </c>
      <c r="M290" s="22"/>
      <c r="N290" s="23" t="s">
        <v>1234</v>
      </c>
      <c r="O290" s="24"/>
      <c r="P290" s="22" t="s">
        <v>477</v>
      </c>
      <c r="Q290" s="17">
        <f t="shared" si="18"/>
        <v>4.2062498717606979E-3</v>
      </c>
      <c r="R290" s="11" t="s">
        <v>478</v>
      </c>
      <c r="S290" s="18">
        <f t="shared" si="16"/>
        <v>485.32</v>
      </c>
      <c r="T290" s="18">
        <f t="shared" si="17"/>
        <v>487.37</v>
      </c>
    </row>
    <row r="291" spans="1:20" ht="28.8" x14ac:dyDescent="0.3">
      <c r="A291" s="9" t="s">
        <v>1235</v>
      </c>
      <c r="B291" s="10" t="s">
        <v>950</v>
      </c>
      <c r="C291" s="10" t="s">
        <v>55</v>
      </c>
      <c r="D291" s="10">
        <v>17</v>
      </c>
      <c r="E291" s="10" t="s">
        <v>86</v>
      </c>
      <c r="F291" s="11" t="s">
        <v>81</v>
      </c>
      <c r="G291" s="12" t="s">
        <v>1236</v>
      </c>
      <c r="H291" s="11" t="s">
        <v>1237</v>
      </c>
      <c r="I291" s="11" t="s">
        <v>953</v>
      </c>
      <c r="J291" s="10"/>
      <c r="K291" s="10" t="s">
        <v>61</v>
      </c>
      <c r="L291" s="13" t="s">
        <v>62</v>
      </c>
      <c r="M291" s="14"/>
      <c r="N291" s="15" t="s">
        <v>1238</v>
      </c>
      <c r="O291" s="16"/>
      <c r="P291" s="14" t="s">
        <v>64</v>
      </c>
      <c r="Q291" s="17">
        <f t="shared" si="18"/>
        <v>5.6467624516983806E-3</v>
      </c>
      <c r="R291" s="11"/>
      <c r="S291" s="18">
        <f t="shared" si="16"/>
        <v>931.53</v>
      </c>
      <c r="T291" s="18">
        <f t="shared" si="17"/>
        <v>936.82</v>
      </c>
    </row>
    <row r="292" spans="1:20" ht="28.8" x14ac:dyDescent="0.3">
      <c r="A292" s="9" t="s">
        <v>1239</v>
      </c>
      <c r="B292" s="10" t="s">
        <v>950</v>
      </c>
      <c r="C292" s="10" t="s">
        <v>55</v>
      </c>
      <c r="D292" s="10">
        <v>17</v>
      </c>
      <c r="E292" s="10" t="s">
        <v>92</v>
      </c>
      <c r="F292" s="11" t="s">
        <v>1240</v>
      </c>
      <c r="G292" s="12" t="s">
        <v>212</v>
      </c>
      <c r="H292" s="11" t="s">
        <v>1241</v>
      </c>
      <c r="I292" s="11" t="s">
        <v>953</v>
      </c>
      <c r="J292" s="10"/>
      <c r="K292" s="10" t="s">
        <v>61</v>
      </c>
      <c r="L292" s="13" t="s">
        <v>62</v>
      </c>
      <c r="M292" s="14"/>
      <c r="N292" s="15" t="s">
        <v>1242</v>
      </c>
      <c r="O292" s="16"/>
      <c r="P292" s="14" t="s">
        <v>64</v>
      </c>
      <c r="Q292" s="17">
        <f t="shared" si="18"/>
        <v>2.3382696804364273E-3</v>
      </c>
      <c r="R292" s="11"/>
      <c r="S292" s="18">
        <f t="shared" si="16"/>
        <v>25.6</v>
      </c>
      <c r="T292" s="18">
        <f t="shared" si="17"/>
        <v>25.66</v>
      </c>
    </row>
    <row r="293" spans="1:20" ht="28.8" x14ac:dyDescent="0.3">
      <c r="A293" s="9" t="s">
        <v>1243</v>
      </c>
      <c r="B293" s="10" t="s">
        <v>950</v>
      </c>
      <c r="C293" s="10" t="s">
        <v>55</v>
      </c>
      <c r="D293" s="10">
        <v>17</v>
      </c>
      <c r="E293" s="10" t="s">
        <v>98</v>
      </c>
      <c r="F293" s="11" t="s">
        <v>104</v>
      </c>
      <c r="G293" s="12" t="s">
        <v>1244</v>
      </c>
      <c r="H293" s="11" t="s">
        <v>1028</v>
      </c>
      <c r="I293" s="11" t="s">
        <v>953</v>
      </c>
      <c r="J293" s="10"/>
      <c r="K293" s="10" t="s">
        <v>61</v>
      </c>
      <c r="L293" s="13" t="s">
        <v>62</v>
      </c>
      <c r="M293" s="14"/>
      <c r="N293" s="15" t="s">
        <v>1245</v>
      </c>
      <c r="O293" s="16"/>
      <c r="P293" s="14" t="s">
        <v>64</v>
      </c>
      <c r="Q293" s="17">
        <f t="shared" ref="Q293:Q303" si="19">IF(OR(S293="",T293=""),"",(T293-S293)/T293)</f>
        <v>6.0043668122270431E-3</v>
      </c>
      <c r="R293" s="11"/>
      <c r="S293" s="18">
        <f t="shared" si="16"/>
        <v>54.63</v>
      </c>
      <c r="T293" s="18">
        <f t="shared" si="17"/>
        <v>54.96</v>
      </c>
    </row>
    <row r="294" spans="1:20" ht="28.8" x14ac:dyDescent="0.3">
      <c r="A294" s="9" t="s">
        <v>1246</v>
      </c>
      <c r="B294" s="10" t="s">
        <v>950</v>
      </c>
      <c r="C294" s="10" t="s">
        <v>55</v>
      </c>
      <c r="D294" s="10">
        <v>17</v>
      </c>
      <c r="E294" s="10" t="s">
        <v>103</v>
      </c>
      <c r="F294" s="11" t="s">
        <v>104</v>
      </c>
      <c r="G294" s="12" t="s">
        <v>1247</v>
      </c>
      <c r="H294" s="11" t="s">
        <v>1248</v>
      </c>
      <c r="I294" s="11" t="s">
        <v>953</v>
      </c>
      <c r="J294" s="10"/>
      <c r="K294" s="10" t="s">
        <v>61</v>
      </c>
      <c r="L294" s="13" t="s">
        <v>62</v>
      </c>
      <c r="M294" s="14"/>
      <c r="N294" s="15" t="s">
        <v>1249</v>
      </c>
      <c r="O294" s="16"/>
      <c r="P294" s="14" t="s">
        <v>64</v>
      </c>
      <c r="Q294" s="17">
        <f t="shared" si="19"/>
        <v>3.7650602409639976E-3</v>
      </c>
      <c r="R294" s="11"/>
      <c r="S294" s="18">
        <f t="shared" si="16"/>
        <v>119.07</v>
      </c>
      <c r="T294" s="18">
        <f t="shared" si="17"/>
        <v>119.52000000000001</v>
      </c>
    </row>
    <row r="295" spans="1:20" ht="28.8" x14ac:dyDescent="0.3">
      <c r="A295" s="9" t="s">
        <v>1250</v>
      </c>
      <c r="B295" s="10" t="s">
        <v>950</v>
      </c>
      <c r="C295" s="10" t="s">
        <v>55</v>
      </c>
      <c r="D295" s="10">
        <v>17</v>
      </c>
      <c r="E295" s="10" t="s">
        <v>109</v>
      </c>
      <c r="F295" s="11" t="s">
        <v>196</v>
      </c>
      <c r="G295" s="12" t="s">
        <v>1251</v>
      </c>
      <c r="H295" s="11" t="s">
        <v>1252</v>
      </c>
      <c r="I295" s="11" t="s">
        <v>953</v>
      </c>
      <c r="J295" s="10"/>
      <c r="K295" s="10" t="s">
        <v>61</v>
      </c>
      <c r="L295" s="13" t="s">
        <v>62</v>
      </c>
      <c r="M295" s="14"/>
      <c r="N295" s="15" t="s">
        <v>1253</v>
      </c>
      <c r="O295" s="16"/>
      <c r="P295" s="14" t="s">
        <v>64</v>
      </c>
      <c r="Q295" s="17">
        <f t="shared" si="19"/>
        <v>1.9310344827586163E-2</v>
      </c>
      <c r="R295" s="11"/>
      <c r="S295" s="18">
        <f t="shared" si="16"/>
        <v>28.44</v>
      </c>
      <c r="T295" s="18">
        <f t="shared" si="17"/>
        <v>29</v>
      </c>
    </row>
    <row r="296" spans="1:20" ht="28.8" x14ac:dyDescent="0.3">
      <c r="A296" s="9" t="s">
        <v>1254</v>
      </c>
      <c r="B296" s="10" t="s">
        <v>950</v>
      </c>
      <c r="C296" s="10" t="s">
        <v>55</v>
      </c>
      <c r="D296" s="10">
        <v>17</v>
      </c>
      <c r="E296" s="10" t="s">
        <v>115</v>
      </c>
      <c r="F296" s="11" t="s">
        <v>352</v>
      </c>
      <c r="G296" s="12" t="s">
        <v>1255</v>
      </c>
      <c r="H296" s="11" t="s">
        <v>1256</v>
      </c>
      <c r="I296" s="11" t="s">
        <v>953</v>
      </c>
      <c r="J296" s="10"/>
      <c r="K296" s="10" t="s">
        <v>61</v>
      </c>
      <c r="L296" s="13" t="s">
        <v>62</v>
      </c>
      <c r="M296" s="14"/>
      <c r="N296" s="15" t="s">
        <v>1257</v>
      </c>
      <c r="O296" s="16"/>
      <c r="P296" s="14" t="s">
        <v>64</v>
      </c>
      <c r="Q296" s="17">
        <f t="shared" si="19"/>
        <v>7.9226746949770249E-3</v>
      </c>
      <c r="R296" s="11"/>
      <c r="S296" s="18">
        <f t="shared" si="16"/>
        <v>62.61</v>
      </c>
      <c r="T296" s="18">
        <f t="shared" si="17"/>
        <v>63.11</v>
      </c>
    </row>
    <row r="297" spans="1:20" ht="28.8" x14ac:dyDescent="0.3">
      <c r="A297" s="9" t="s">
        <v>1258</v>
      </c>
      <c r="B297" s="10" t="s">
        <v>950</v>
      </c>
      <c r="C297" s="10" t="s">
        <v>55</v>
      </c>
      <c r="D297" s="10">
        <v>17</v>
      </c>
      <c r="E297" s="10" t="s">
        <v>120</v>
      </c>
      <c r="F297" s="11" t="s">
        <v>506</v>
      </c>
      <c r="G297" s="12" t="s">
        <v>1259</v>
      </c>
      <c r="H297" s="11" t="s">
        <v>1260</v>
      </c>
      <c r="I297" s="11" t="s">
        <v>953</v>
      </c>
      <c r="J297" s="10"/>
      <c r="K297" s="10" t="s">
        <v>61</v>
      </c>
      <c r="L297" s="13" t="s">
        <v>62</v>
      </c>
      <c r="M297" s="14"/>
      <c r="N297" s="15" t="s">
        <v>1261</v>
      </c>
      <c r="O297" s="16"/>
      <c r="P297" s="14" t="s">
        <v>64</v>
      </c>
      <c r="Q297" s="17">
        <f t="shared" si="19"/>
        <v>9.4876660341556805E-3</v>
      </c>
      <c r="R297" s="11"/>
      <c r="S297" s="18">
        <f t="shared" si="16"/>
        <v>135.72</v>
      </c>
      <c r="T297" s="18">
        <f t="shared" si="17"/>
        <v>137.02000000000001</v>
      </c>
    </row>
    <row r="298" spans="1:20" ht="28.8" x14ac:dyDescent="0.3">
      <c r="A298" s="9" t="s">
        <v>1262</v>
      </c>
      <c r="B298" s="10" t="s">
        <v>950</v>
      </c>
      <c r="C298" s="10" t="s">
        <v>55</v>
      </c>
      <c r="D298" s="10">
        <v>17</v>
      </c>
      <c r="E298" s="10" t="s">
        <v>126</v>
      </c>
      <c r="F298" s="11" t="s">
        <v>515</v>
      </c>
      <c r="G298" s="12" t="s">
        <v>1263</v>
      </c>
      <c r="H298" s="11" t="s">
        <v>1264</v>
      </c>
      <c r="I298" s="11" t="s">
        <v>953</v>
      </c>
      <c r="J298" s="10"/>
      <c r="K298" s="10" t="s">
        <v>61</v>
      </c>
      <c r="L298" s="13" t="s">
        <v>62</v>
      </c>
      <c r="M298" s="14"/>
      <c r="N298" s="15" t="s">
        <v>488</v>
      </c>
      <c r="O298" s="16"/>
      <c r="P298" s="14" t="s">
        <v>64</v>
      </c>
      <c r="Q298" s="17">
        <f t="shared" si="19"/>
        <v>2.55889520714867E-2</v>
      </c>
      <c r="R298" s="11"/>
      <c r="S298" s="18">
        <f t="shared" si="16"/>
        <v>23.99</v>
      </c>
      <c r="T298" s="18">
        <f t="shared" si="17"/>
        <v>24.62</v>
      </c>
    </row>
    <row r="299" spans="1:20" ht="28.8" x14ac:dyDescent="0.3">
      <c r="A299" s="9" t="s">
        <v>1265</v>
      </c>
      <c r="B299" s="10" t="s">
        <v>950</v>
      </c>
      <c r="C299" s="10" t="s">
        <v>55</v>
      </c>
      <c r="D299" s="10">
        <v>17</v>
      </c>
      <c r="E299" s="10" t="s">
        <v>130</v>
      </c>
      <c r="F299" s="11" t="s">
        <v>515</v>
      </c>
      <c r="G299" s="12" t="s">
        <v>366</v>
      </c>
      <c r="H299" s="11" t="s">
        <v>1266</v>
      </c>
      <c r="I299" s="11" t="s">
        <v>953</v>
      </c>
      <c r="J299" s="10"/>
      <c r="K299" s="10" t="s">
        <v>61</v>
      </c>
      <c r="L299" s="13" t="s">
        <v>62</v>
      </c>
      <c r="M299" s="14"/>
      <c r="N299" s="15" t="s">
        <v>1267</v>
      </c>
      <c r="O299" s="16"/>
      <c r="P299" s="14" t="s">
        <v>64</v>
      </c>
      <c r="Q299" s="17">
        <f t="shared" si="19"/>
        <v>1.5023818248442658E-2</v>
      </c>
      <c r="R299" s="11"/>
      <c r="S299" s="18">
        <f t="shared" si="16"/>
        <v>53.76</v>
      </c>
      <c r="T299" s="18">
        <f t="shared" si="17"/>
        <v>54.58</v>
      </c>
    </row>
    <row r="300" spans="1:20" ht="28.8" x14ac:dyDescent="0.3">
      <c r="A300" s="9" t="s">
        <v>1268</v>
      </c>
      <c r="B300" s="10" t="s">
        <v>950</v>
      </c>
      <c r="C300" s="10" t="s">
        <v>55</v>
      </c>
      <c r="D300" s="10">
        <v>17</v>
      </c>
      <c r="E300" s="10" t="s">
        <v>135</v>
      </c>
      <c r="F300" s="11" t="s">
        <v>324</v>
      </c>
      <c r="G300" s="12" t="s">
        <v>1269</v>
      </c>
      <c r="H300" s="11" t="s">
        <v>1270</v>
      </c>
      <c r="I300" s="11" t="s">
        <v>953</v>
      </c>
      <c r="J300" s="10"/>
      <c r="K300" s="10" t="s">
        <v>61</v>
      </c>
      <c r="L300" s="13" t="s">
        <v>62</v>
      </c>
      <c r="M300" s="14"/>
      <c r="N300" s="15" t="s">
        <v>1271</v>
      </c>
      <c r="O300" s="16"/>
      <c r="P300" s="14" t="s">
        <v>64</v>
      </c>
      <c r="Q300" s="17">
        <f t="shared" si="19"/>
        <v>1.1235012995724014E-2</v>
      </c>
      <c r="R300" s="11"/>
      <c r="S300" s="18">
        <f t="shared" si="16"/>
        <v>117.93</v>
      </c>
      <c r="T300" s="18">
        <f t="shared" si="17"/>
        <v>119.27000000000001</v>
      </c>
    </row>
    <row r="301" spans="1:20" ht="28.8" x14ac:dyDescent="0.3">
      <c r="A301" s="9" t="s">
        <v>1272</v>
      </c>
      <c r="B301" s="10" t="s">
        <v>950</v>
      </c>
      <c r="C301" s="10" t="s">
        <v>55</v>
      </c>
      <c r="D301" s="10">
        <v>17</v>
      </c>
      <c r="E301" s="10" t="s">
        <v>146</v>
      </c>
      <c r="F301" s="11" t="s">
        <v>104</v>
      </c>
      <c r="G301" s="12" t="s">
        <v>1273</v>
      </c>
      <c r="H301" s="11" t="s">
        <v>1274</v>
      </c>
      <c r="I301" s="11" t="s">
        <v>953</v>
      </c>
      <c r="J301" s="10"/>
      <c r="K301" s="10" t="s">
        <v>61</v>
      </c>
      <c r="L301" s="13" t="s">
        <v>62</v>
      </c>
      <c r="M301" s="14"/>
      <c r="N301" s="15" t="s">
        <v>1275</v>
      </c>
      <c r="O301" s="16"/>
      <c r="P301" s="14" t="s">
        <v>64</v>
      </c>
      <c r="Q301" s="17">
        <f t="shared" si="19"/>
        <v>1.8948056190787269E-2</v>
      </c>
      <c r="R301" s="11"/>
      <c r="S301" s="18">
        <f t="shared" si="16"/>
        <v>120.12</v>
      </c>
      <c r="T301" s="18">
        <f t="shared" si="17"/>
        <v>122.44</v>
      </c>
    </row>
    <row r="302" spans="1:20" ht="28.8" x14ac:dyDescent="0.3">
      <c r="A302" s="9" t="s">
        <v>1276</v>
      </c>
      <c r="B302" s="10" t="s">
        <v>950</v>
      </c>
      <c r="C302" s="10" t="s">
        <v>55</v>
      </c>
      <c r="D302" s="10">
        <v>17</v>
      </c>
      <c r="E302" s="10" t="s">
        <v>150</v>
      </c>
      <c r="F302" s="11" t="s">
        <v>104</v>
      </c>
      <c r="G302" s="12" t="s">
        <v>1277</v>
      </c>
      <c r="H302" s="11" t="s">
        <v>1032</v>
      </c>
      <c r="I302" s="11" t="s">
        <v>953</v>
      </c>
      <c r="J302" s="10"/>
      <c r="K302" s="10" t="s">
        <v>61</v>
      </c>
      <c r="L302" s="13" t="s">
        <v>62</v>
      </c>
      <c r="M302" s="14"/>
      <c r="N302" s="15" t="s">
        <v>1278</v>
      </c>
      <c r="O302" s="16"/>
      <c r="P302" s="14" t="s">
        <v>64</v>
      </c>
      <c r="Q302" s="17">
        <f t="shared" si="19"/>
        <v>1.3139245355295946E-2</v>
      </c>
      <c r="R302" s="11"/>
      <c r="S302" s="18">
        <f t="shared" si="16"/>
        <v>257.62</v>
      </c>
      <c r="T302" s="18">
        <f t="shared" si="17"/>
        <v>261.05</v>
      </c>
    </row>
    <row r="303" spans="1:20" ht="28.8" x14ac:dyDescent="0.3">
      <c r="A303" s="9" t="s">
        <v>1279</v>
      </c>
      <c r="B303" s="10" t="s">
        <v>950</v>
      </c>
      <c r="C303" s="10" t="s">
        <v>55</v>
      </c>
      <c r="D303" s="10">
        <v>18</v>
      </c>
      <c r="E303" s="10" t="s">
        <v>56</v>
      </c>
      <c r="F303" s="11" t="s">
        <v>310</v>
      </c>
      <c r="G303" s="12" t="s">
        <v>311</v>
      </c>
      <c r="H303" s="11" t="s">
        <v>1280</v>
      </c>
      <c r="I303" s="11" t="s">
        <v>953</v>
      </c>
      <c r="J303" s="10"/>
      <c r="K303" s="10" t="s">
        <v>61</v>
      </c>
      <c r="L303" s="13" t="s">
        <v>62</v>
      </c>
      <c r="M303" s="14"/>
      <c r="N303" s="15" t="s">
        <v>1281</v>
      </c>
      <c r="O303" s="16"/>
      <c r="P303" s="14" t="s">
        <v>64</v>
      </c>
      <c r="Q303" s="17">
        <f t="shared" si="19"/>
        <v>4.9063336306870197E-3</v>
      </c>
      <c r="R303" s="11"/>
      <c r="S303" s="18">
        <f t="shared" si="16"/>
        <v>22.31</v>
      </c>
      <c r="T303" s="18">
        <f t="shared" si="17"/>
        <v>22.42</v>
      </c>
    </row>
    <row r="304" spans="1:20" ht="28.8" x14ac:dyDescent="0.3">
      <c r="A304" s="9" t="s">
        <v>1282</v>
      </c>
      <c r="B304" s="10" t="s">
        <v>950</v>
      </c>
      <c r="C304" s="10" t="s">
        <v>55</v>
      </c>
      <c r="D304" s="10">
        <v>18</v>
      </c>
      <c r="E304" s="10" t="s">
        <v>66</v>
      </c>
      <c r="F304" s="11" t="s">
        <v>1283</v>
      </c>
      <c r="G304" s="12" t="s">
        <v>1284</v>
      </c>
      <c r="H304" s="11" t="s">
        <v>1285</v>
      </c>
      <c r="I304" s="11" t="s">
        <v>953</v>
      </c>
      <c r="J304" s="10"/>
      <c r="K304" s="10" t="s">
        <v>62</v>
      </c>
      <c r="L304" s="13" t="s">
        <v>756</v>
      </c>
      <c r="M304" s="22"/>
      <c r="N304" s="23" t="s">
        <v>1284</v>
      </c>
      <c r="O304" s="24"/>
      <c r="P304" s="22" t="s">
        <v>757</v>
      </c>
      <c r="Q304" s="17">
        <v>0</v>
      </c>
      <c r="R304" s="11" t="s">
        <v>758</v>
      </c>
      <c r="S304" s="18">
        <f t="shared" si="16"/>
        <v>49.77</v>
      </c>
      <c r="T304" s="18">
        <f t="shared" si="17"/>
        <v>49.77</v>
      </c>
    </row>
    <row r="305" spans="1:20" ht="28.8" x14ac:dyDescent="0.3">
      <c r="A305" s="9" t="s">
        <v>1286</v>
      </c>
      <c r="B305" s="10" t="s">
        <v>950</v>
      </c>
      <c r="C305" s="10" t="s">
        <v>55</v>
      </c>
      <c r="D305" s="10">
        <v>18</v>
      </c>
      <c r="E305" s="10" t="s">
        <v>70</v>
      </c>
      <c r="F305" s="11" t="s">
        <v>1287</v>
      </c>
      <c r="G305" s="12" t="s">
        <v>1288</v>
      </c>
      <c r="H305" s="11" t="s">
        <v>1289</v>
      </c>
      <c r="I305" s="11" t="s">
        <v>953</v>
      </c>
      <c r="J305" s="10"/>
      <c r="K305" s="10" t="s">
        <v>61</v>
      </c>
      <c r="L305" s="13" t="s">
        <v>62</v>
      </c>
      <c r="M305" s="14"/>
      <c r="N305" s="15" t="s">
        <v>1290</v>
      </c>
      <c r="O305" s="16"/>
      <c r="P305" s="14" t="s">
        <v>64</v>
      </c>
      <c r="Q305" s="17">
        <f t="shared" ref="Q305:Q336" si="20">IF(OR(S305="",T305=""),"",(T305-S305)/T305)</f>
        <v>5.6912061685331795E-3</v>
      </c>
      <c r="R305" s="11"/>
      <c r="S305" s="18">
        <f t="shared" si="16"/>
        <v>108.32</v>
      </c>
      <c r="T305" s="18">
        <f t="shared" si="17"/>
        <v>108.94</v>
      </c>
    </row>
    <row r="306" spans="1:20" ht="28.8" x14ac:dyDescent="0.3">
      <c r="A306" s="9" t="s">
        <v>1291</v>
      </c>
      <c r="B306" s="10" t="s">
        <v>950</v>
      </c>
      <c r="C306" s="10" t="s">
        <v>55</v>
      </c>
      <c r="D306" s="10">
        <v>18</v>
      </c>
      <c r="E306" s="10" t="s">
        <v>75</v>
      </c>
      <c r="F306" s="11" t="s">
        <v>473</v>
      </c>
      <c r="G306" s="12" t="s">
        <v>1292</v>
      </c>
      <c r="H306" s="11" t="s">
        <v>1293</v>
      </c>
      <c r="I306" s="11" t="s">
        <v>953</v>
      </c>
      <c r="J306" s="10"/>
      <c r="K306" s="10" t="s">
        <v>61</v>
      </c>
      <c r="L306" s="13" t="s">
        <v>475</v>
      </c>
      <c r="M306" s="22"/>
      <c r="N306" s="23" t="s">
        <v>1294</v>
      </c>
      <c r="O306" s="24"/>
      <c r="P306" s="22" t="s">
        <v>477</v>
      </c>
      <c r="Q306" s="17">
        <f t="shared" si="20"/>
        <v>6.9234097793162887E-3</v>
      </c>
      <c r="R306" s="11" t="s">
        <v>478</v>
      </c>
      <c r="S306" s="18">
        <f t="shared" si="16"/>
        <v>229.5</v>
      </c>
      <c r="T306" s="18">
        <f t="shared" si="17"/>
        <v>231.1</v>
      </c>
    </row>
    <row r="307" spans="1:20" ht="28.8" x14ac:dyDescent="0.3">
      <c r="A307" s="9" t="s">
        <v>1295</v>
      </c>
      <c r="B307" s="10" t="s">
        <v>950</v>
      </c>
      <c r="C307" s="10" t="s">
        <v>55</v>
      </c>
      <c r="D307" s="10">
        <v>18</v>
      </c>
      <c r="E307" s="10" t="s">
        <v>80</v>
      </c>
      <c r="F307" s="11" t="s">
        <v>398</v>
      </c>
      <c r="G307" s="12" t="s">
        <v>1296</v>
      </c>
      <c r="H307" s="11" t="s">
        <v>1089</v>
      </c>
      <c r="I307" s="11" t="s">
        <v>953</v>
      </c>
      <c r="J307" s="10"/>
      <c r="K307" s="10" t="s">
        <v>61</v>
      </c>
      <c r="L307" s="13" t="s">
        <v>62</v>
      </c>
      <c r="M307" s="14"/>
      <c r="N307" s="15" t="s">
        <v>1297</v>
      </c>
      <c r="O307" s="16"/>
      <c r="P307" s="14" t="s">
        <v>64</v>
      </c>
      <c r="Q307" s="17">
        <f t="shared" si="20"/>
        <v>9.2929542136967903E-3</v>
      </c>
      <c r="R307" s="11"/>
      <c r="S307" s="18">
        <f t="shared" si="16"/>
        <v>481.87</v>
      </c>
      <c r="T307" s="18">
        <f t="shared" si="17"/>
        <v>486.39</v>
      </c>
    </row>
    <row r="308" spans="1:20" ht="28.8" x14ac:dyDescent="0.3">
      <c r="A308" s="9" t="s">
        <v>1298</v>
      </c>
      <c r="B308" s="10" t="s">
        <v>950</v>
      </c>
      <c r="C308" s="10" t="s">
        <v>55</v>
      </c>
      <c r="D308" s="10">
        <v>18</v>
      </c>
      <c r="E308" s="10" t="s">
        <v>86</v>
      </c>
      <c r="F308" s="11" t="s">
        <v>398</v>
      </c>
      <c r="G308" s="12" t="s">
        <v>1299</v>
      </c>
      <c r="H308" s="11" t="s">
        <v>1093</v>
      </c>
      <c r="I308" s="11" t="s">
        <v>953</v>
      </c>
      <c r="J308" s="10"/>
      <c r="K308" s="10" t="s">
        <v>61</v>
      </c>
      <c r="L308" s="13" t="s">
        <v>62</v>
      </c>
      <c r="M308" s="14"/>
      <c r="N308" s="15" t="s">
        <v>1300</v>
      </c>
      <c r="O308" s="16"/>
      <c r="P308" s="14" t="s">
        <v>64</v>
      </c>
      <c r="Q308" s="17">
        <f t="shared" si="20"/>
        <v>5.4795109267894611E-3</v>
      </c>
      <c r="R308" s="11"/>
      <c r="S308" s="18">
        <f t="shared" si="16"/>
        <v>925.64</v>
      </c>
      <c r="T308" s="18">
        <f t="shared" si="17"/>
        <v>930.74</v>
      </c>
    </row>
    <row r="309" spans="1:20" ht="28.8" x14ac:dyDescent="0.3">
      <c r="A309" s="9" t="s">
        <v>1301</v>
      </c>
      <c r="B309" s="10" t="s">
        <v>950</v>
      </c>
      <c r="C309" s="10" t="s">
        <v>55</v>
      </c>
      <c r="D309" s="10">
        <v>18</v>
      </c>
      <c r="E309" s="10" t="s">
        <v>92</v>
      </c>
      <c r="F309" s="11" t="s">
        <v>1240</v>
      </c>
      <c r="G309" s="12" t="s">
        <v>1302</v>
      </c>
      <c r="H309" s="11" t="s">
        <v>1303</v>
      </c>
      <c r="I309" s="11" t="s">
        <v>953</v>
      </c>
      <c r="J309" s="10"/>
      <c r="K309" s="10" t="s">
        <v>61</v>
      </c>
      <c r="L309" s="13" t="s">
        <v>62</v>
      </c>
      <c r="M309" s="14"/>
      <c r="N309" s="15" t="s">
        <v>1304</v>
      </c>
      <c r="O309" s="16"/>
      <c r="P309" s="14" t="s">
        <v>64</v>
      </c>
      <c r="Q309" s="17">
        <f t="shared" si="20"/>
        <v>1.1871784724970349E-2</v>
      </c>
      <c r="R309" s="11"/>
      <c r="S309" s="18">
        <f t="shared" si="16"/>
        <v>24.97</v>
      </c>
      <c r="T309" s="18">
        <f t="shared" si="17"/>
        <v>25.27</v>
      </c>
    </row>
    <row r="310" spans="1:20" ht="28.8" x14ac:dyDescent="0.3">
      <c r="A310" s="9" t="s">
        <v>1305</v>
      </c>
      <c r="B310" s="10" t="s">
        <v>950</v>
      </c>
      <c r="C310" s="10" t="s">
        <v>55</v>
      </c>
      <c r="D310" s="10">
        <v>18</v>
      </c>
      <c r="E310" s="10" t="s">
        <v>98</v>
      </c>
      <c r="F310" s="11" t="s">
        <v>416</v>
      </c>
      <c r="G310" s="12" t="s">
        <v>1306</v>
      </c>
      <c r="H310" s="11" t="s">
        <v>1307</v>
      </c>
      <c r="I310" s="11" t="s">
        <v>953</v>
      </c>
      <c r="J310" s="10"/>
      <c r="K310" s="10" t="s">
        <v>61</v>
      </c>
      <c r="L310" s="13" t="s">
        <v>62</v>
      </c>
      <c r="M310" s="14"/>
      <c r="N310" s="15" t="s">
        <v>1308</v>
      </c>
      <c r="O310" s="16"/>
      <c r="P310" s="14" t="s">
        <v>64</v>
      </c>
      <c r="Q310" s="17">
        <f t="shared" si="20"/>
        <v>9.1625435220812088E-4</v>
      </c>
      <c r="R310" s="11"/>
      <c r="S310" s="18">
        <f t="shared" si="16"/>
        <v>54.52</v>
      </c>
      <c r="T310" s="18">
        <f t="shared" si="17"/>
        <v>54.57</v>
      </c>
    </row>
    <row r="311" spans="1:20" ht="28.8" x14ac:dyDescent="0.3">
      <c r="A311" s="9" t="s">
        <v>1309</v>
      </c>
      <c r="B311" s="10" t="s">
        <v>950</v>
      </c>
      <c r="C311" s="10" t="s">
        <v>55</v>
      </c>
      <c r="D311" s="10">
        <v>18</v>
      </c>
      <c r="E311" s="10" t="s">
        <v>103</v>
      </c>
      <c r="F311" s="11" t="s">
        <v>1310</v>
      </c>
      <c r="G311" s="12" t="s">
        <v>1311</v>
      </c>
      <c r="H311" s="11" t="s">
        <v>1312</v>
      </c>
      <c r="I311" s="11" t="s">
        <v>953</v>
      </c>
      <c r="J311" s="10"/>
      <c r="K311" s="10" t="s">
        <v>61</v>
      </c>
      <c r="L311" s="13" t="s">
        <v>62</v>
      </c>
      <c r="M311" s="14"/>
      <c r="N311" s="15" t="s">
        <v>1313</v>
      </c>
      <c r="O311" s="16"/>
      <c r="P311" s="14" t="s">
        <v>64</v>
      </c>
      <c r="Q311" s="17">
        <f t="shared" si="20"/>
        <v>1.5793431937829033E-2</v>
      </c>
      <c r="R311" s="11"/>
      <c r="S311" s="18">
        <f t="shared" si="16"/>
        <v>117.78</v>
      </c>
      <c r="T311" s="18">
        <f t="shared" si="17"/>
        <v>119.67</v>
      </c>
    </row>
    <row r="312" spans="1:20" ht="28.8" x14ac:dyDescent="0.3">
      <c r="A312" s="9" t="s">
        <v>1314</v>
      </c>
      <c r="B312" s="10" t="s">
        <v>950</v>
      </c>
      <c r="C312" s="10" t="s">
        <v>55</v>
      </c>
      <c r="D312" s="10">
        <v>18</v>
      </c>
      <c r="E312" s="10" t="s">
        <v>109</v>
      </c>
      <c r="F312" s="11" t="s">
        <v>1315</v>
      </c>
      <c r="G312" s="12" t="s">
        <v>1316</v>
      </c>
      <c r="H312" s="11" t="s">
        <v>1317</v>
      </c>
      <c r="I312" s="11" t="s">
        <v>953</v>
      </c>
      <c r="J312" s="10"/>
      <c r="K312" s="10" t="s">
        <v>61</v>
      </c>
      <c r="L312" s="13" t="s">
        <v>62</v>
      </c>
      <c r="M312" s="14"/>
      <c r="N312" s="15" t="s">
        <v>1318</v>
      </c>
      <c r="O312" s="16"/>
      <c r="P312" s="14" t="s">
        <v>64</v>
      </c>
      <c r="Q312" s="17">
        <f t="shared" si="20"/>
        <v>3.4867503486743414E-4</v>
      </c>
      <c r="R312" s="11"/>
      <c r="S312" s="18">
        <f t="shared" si="16"/>
        <v>28.67</v>
      </c>
      <c r="T312" s="18">
        <f t="shared" si="17"/>
        <v>28.68</v>
      </c>
    </row>
    <row r="313" spans="1:20" ht="28.8" x14ac:dyDescent="0.3">
      <c r="A313" s="9" t="s">
        <v>1319</v>
      </c>
      <c r="B313" s="10" t="s">
        <v>950</v>
      </c>
      <c r="C313" s="10" t="s">
        <v>55</v>
      </c>
      <c r="D313" s="10">
        <v>18</v>
      </c>
      <c r="E313" s="10" t="s">
        <v>115</v>
      </c>
      <c r="F313" s="11" t="s">
        <v>1320</v>
      </c>
      <c r="G313" s="12" t="s">
        <v>1321</v>
      </c>
      <c r="H313" s="11" t="s">
        <v>1322</v>
      </c>
      <c r="I313" s="11" t="s">
        <v>953</v>
      </c>
      <c r="J313" s="10"/>
      <c r="K313" s="10" t="s">
        <v>61</v>
      </c>
      <c r="L313" s="13" t="s">
        <v>62</v>
      </c>
      <c r="M313" s="14"/>
      <c r="N313" s="15" t="s">
        <v>1323</v>
      </c>
      <c r="O313" s="16"/>
      <c r="P313" s="14" t="s">
        <v>64</v>
      </c>
      <c r="Q313" s="17">
        <f t="shared" si="20"/>
        <v>1.7488076311605746E-2</v>
      </c>
      <c r="R313" s="11"/>
      <c r="S313" s="18">
        <f t="shared" si="16"/>
        <v>61.8</v>
      </c>
      <c r="T313" s="18">
        <f t="shared" si="17"/>
        <v>62.9</v>
      </c>
    </row>
    <row r="314" spans="1:20" ht="28.8" x14ac:dyDescent="0.3">
      <c r="A314" s="9" t="s">
        <v>1324</v>
      </c>
      <c r="B314" s="10" t="s">
        <v>950</v>
      </c>
      <c r="C314" s="10" t="s">
        <v>55</v>
      </c>
      <c r="D314" s="10">
        <v>18</v>
      </c>
      <c r="E314" s="10" t="s">
        <v>120</v>
      </c>
      <c r="F314" s="11" t="s">
        <v>1325</v>
      </c>
      <c r="G314" s="12" t="s">
        <v>1326</v>
      </c>
      <c r="H314" s="11" t="s">
        <v>1327</v>
      </c>
      <c r="I314" s="11" t="s">
        <v>953</v>
      </c>
      <c r="J314" s="10"/>
      <c r="K314" s="10" t="s">
        <v>61</v>
      </c>
      <c r="L314" s="13" t="s">
        <v>62</v>
      </c>
      <c r="M314" s="14"/>
      <c r="N314" s="15" t="s">
        <v>1328</v>
      </c>
      <c r="O314" s="16"/>
      <c r="P314" s="14" t="s">
        <v>64</v>
      </c>
      <c r="Q314" s="17">
        <f t="shared" si="20"/>
        <v>1.0412847400454762E-2</v>
      </c>
      <c r="R314" s="11"/>
      <c r="S314" s="18">
        <f t="shared" si="16"/>
        <v>134.94999999999999</v>
      </c>
      <c r="T314" s="18">
        <f t="shared" si="17"/>
        <v>136.37</v>
      </c>
    </row>
    <row r="315" spans="1:20" ht="28.8" x14ac:dyDescent="0.3">
      <c r="A315" s="9" t="s">
        <v>1329</v>
      </c>
      <c r="B315" s="10" t="s">
        <v>950</v>
      </c>
      <c r="C315" s="10" t="s">
        <v>55</v>
      </c>
      <c r="D315" s="10">
        <v>18</v>
      </c>
      <c r="E315" s="10" t="s">
        <v>126</v>
      </c>
      <c r="F315" s="11" t="s">
        <v>265</v>
      </c>
      <c r="G315" s="12" t="s">
        <v>1330</v>
      </c>
      <c r="H315" s="11" t="s">
        <v>589</v>
      </c>
      <c r="I315" s="11" t="s">
        <v>953</v>
      </c>
      <c r="J315" s="10"/>
      <c r="K315" s="10" t="s">
        <v>61</v>
      </c>
      <c r="L315" s="13" t="s">
        <v>62</v>
      </c>
      <c r="M315" s="14"/>
      <c r="N315" s="15" t="s">
        <v>1331</v>
      </c>
      <c r="O315" s="16"/>
      <c r="P315" s="14" t="s">
        <v>64</v>
      </c>
      <c r="Q315" s="17">
        <f t="shared" si="20"/>
        <v>1.0208421948107272E-2</v>
      </c>
      <c r="R315" s="11"/>
      <c r="S315" s="18">
        <f t="shared" si="16"/>
        <v>23.27</v>
      </c>
      <c r="T315" s="18">
        <f t="shared" si="17"/>
        <v>23.51</v>
      </c>
    </row>
    <row r="316" spans="1:20" ht="28.8" x14ac:dyDescent="0.3">
      <c r="A316" s="9" t="s">
        <v>1332</v>
      </c>
      <c r="B316" s="10" t="s">
        <v>950</v>
      </c>
      <c r="C316" s="10" t="s">
        <v>55</v>
      </c>
      <c r="D316" s="10">
        <v>18</v>
      </c>
      <c r="E316" s="10" t="s">
        <v>130</v>
      </c>
      <c r="F316" s="11" t="s">
        <v>416</v>
      </c>
      <c r="G316" s="12" t="s">
        <v>1333</v>
      </c>
      <c r="H316" s="11" t="s">
        <v>1334</v>
      </c>
      <c r="I316" s="11" t="s">
        <v>953</v>
      </c>
      <c r="J316" s="10"/>
      <c r="K316" s="10" t="s">
        <v>61</v>
      </c>
      <c r="L316" s="13" t="s">
        <v>62</v>
      </c>
      <c r="M316" s="14"/>
      <c r="N316" s="15" t="s">
        <v>1335</v>
      </c>
      <c r="O316" s="16"/>
      <c r="P316" s="14" t="s">
        <v>64</v>
      </c>
      <c r="Q316" s="17">
        <f t="shared" si="20"/>
        <v>4.190476190476169E-3</v>
      </c>
      <c r="R316" s="11"/>
      <c r="S316" s="18">
        <f t="shared" si="16"/>
        <v>52.28</v>
      </c>
      <c r="T316" s="18">
        <f t="shared" si="17"/>
        <v>52.5</v>
      </c>
    </row>
    <row r="317" spans="1:20" ht="28.8" x14ac:dyDescent="0.3">
      <c r="A317" s="9" t="s">
        <v>1336</v>
      </c>
      <c r="B317" s="10" t="s">
        <v>950</v>
      </c>
      <c r="C317" s="10" t="s">
        <v>55</v>
      </c>
      <c r="D317" s="10">
        <v>18</v>
      </c>
      <c r="E317" s="10" t="s">
        <v>135</v>
      </c>
      <c r="F317" s="11" t="s">
        <v>473</v>
      </c>
      <c r="G317" s="12" t="s">
        <v>1337</v>
      </c>
      <c r="H317" s="11" t="s">
        <v>1293</v>
      </c>
      <c r="I317" s="11" t="s">
        <v>953</v>
      </c>
      <c r="J317" s="10"/>
      <c r="K317" s="10" t="s">
        <v>61</v>
      </c>
      <c r="L317" s="13" t="s">
        <v>475</v>
      </c>
      <c r="M317" s="22"/>
      <c r="N317" s="23" t="s">
        <v>1338</v>
      </c>
      <c r="O317" s="24"/>
      <c r="P317" s="22" t="s">
        <v>477</v>
      </c>
      <c r="Q317" s="17">
        <f t="shared" si="20"/>
        <v>1.3984257243342837E-2</v>
      </c>
      <c r="R317" s="11" t="s">
        <v>478</v>
      </c>
      <c r="S317" s="18">
        <f t="shared" si="16"/>
        <v>117.75</v>
      </c>
      <c r="T317" s="18">
        <f t="shared" si="17"/>
        <v>119.42</v>
      </c>
    </row>
    <row r="318" spans="1:20" ht="28.8" x14ac:dyDescent="0.3">
      <c r="A318" s="9" t="s">
        <v>1339</v>
      </c>
      <c r="B318" s="10" t="s">
        <v>950</v>
      </c>
      <c r="C318" s="10" t="s">
        <v>55</v>
      </c>
      <c r="D318" s="10">
        <v>18</v>
      </c>
      <c r="E318" s="10" t="s">
        <v>146</v>
      </c>
      <c r="F318" s="11" t="s">
        <v>1287</v>
      </c>
      <c r="G318" s="12" t="s">
        <v>1340</v>
      </c>
      <c r="H318" s="11" t="s">
        <v>1341</v>
      </c>
      <c r="I318" s="11" t="s">
        <v>953</v>
      </c>
      <c r="J318" s="10"/>
      <c r="K318" s="10" t="s">
        <v>61</v>
      </c>
      <c r="L318" s="13" t="s">
        <v>62</v>
      </c>
      <c r="M318" s="14"/>
      <c r="N318" s="15" t="s">
        <v>302</v>
      </c>
      <c r="O318" s="16"/>
      <c r="P318" s="14" t="s">
        <v>64</v>
      </c>
      <c r="Q318" s="17">
        <f t="shared" si="20"/>
        <v>1.4081067882142308E-2</v>
      </c>
      <c r="R318" s="11"/>
      <c r="S318" s="18">
        <f t="shared" si="16"/>
        <v>121.13</v>
      </c>
      <c r="T318" s="18">
        <f t="shared" si="17"/>
        <v>122.86</v>
      </c>
    </row>
    <row r="319" spans="1:20" ht="28.8" x14ac:dyDescent="0.3">
      <c r="A319" s="9" t="s">
        <v>1342</v>
      </c>
      <c r="B319" s="10" t="s">
        <v>950</v>
      </c>
      <c r="C319" s="10" t="s">
        <v>55</v>
      </c>
      <c r="D319" s="10">
        <v>18</v>
      </c>
      <c r="E319" s="10" t="s">
        <v>150</v>
      </c>
      <c r="F319" s="11" t="s">
        <v>1287</v>
      </c>
      <c r="G319" s="12" t="s">
        <v>1343</v>
      </c>
      <c r="H319" s="11" t="s">
        <v>1344</v>
      </c>
      <c r="I319" s="11" t="s">
        <v>953</v>
      </c>
      <c r="J319" s="10"/>
      <c r="K319" s="10" t="s">
        <v>61</v>
      </c>
      <c r="L319" s="13" t="s">
        <v>62</v>
      </c>
      <c r="M319" s="14" t="s">
        <v>1746</v>
      </c>
      <c r="N319" s="15" t="s">
        <v>1345</v>
      </c>
      <c r="O319" s="16"/>
      <c r="P319" s="14" t="s">
        <v>64</v>
      </c>
      <c r="Q319" s="17">
        <f t="shared" si="20"/>
        <v>3.2844218049114325E-2</v>
      </c>
      <c r="R319" s="11"/>
      <c r="S319" s="18">
        <f t="shared" si="16"/>
        <v>254.42</v>
      </c>
      <c r="T319" s="18">
        <f t="shared" si="17"/>
        <v>263.06</v>
      </c>
    </row>
    <row r="320" spans="1:20" ht="28.8" x14ac:dyDescent="0.3">
      <c r="A320" s="9" t="s">
        <v>1346</v>
      </c>
      <c r="B320" s="10" t="s">
        <v>950</v>
      </c>
      <c r="C320" s="10" t="s">
        <v>533</v>
      </c>
      <c r="D320" s="10">
        <v>13</v>
      </c>
      <c r="E320" s="10" t="s">
        <v>56</v>
      </c>
      <c r="F320" s="11" t="s">
        <v>534</v>
      </c>
      <c r="G320" s="12" t="s">
        <v>1347</v>
      </c>
      <c r="H320" s="11" t="s">
        <v>1348</v>
      </c>
      <c r="I320" s="11" t="s">
        <v>953</v>
      </c>
      <c r="J320" s="10"/>
      <c r="K320" s="10" t="s">
        <v>61</v>
      </c>
      <c r="L320" s="13" t="s">
        <v>62</v>
      </c>
      <c r="M320" s="14"/>
      <c r="N320" s="15" t="s">
        <v>1349</v>
      </c>
      <c r="O320" s="16"/>
      <c r="P320" s="14" t="s">
        <v>64</v>
      </c>
      <c r="Q320" s="17">
        <f t="shared" si="20"/>
        <v>1.1363636363636256E-2</v>
      </c>
      <c r="R320" s="11"/>
      <c r="S320" s="18">
        <f t="shared" si="16"/>
        <v>26.1</v>
      </c>
      <c r="T320" s="18">
        <f t="shared" si="17"/>
        <v>26.4</v>
      </c>
    </row>
    <row r="321" spans="1:20" ht="28.8" x14ac:dyDescent="0.3">
      <c r="A321" s="9" t="s">
        <v>1350</v>
      </c>
      <c r="B321" s="10" t="s">
        <v>950</v>
      </c>
      <c r="C321" s="10" t="s">
        <v>533</v>
      </c>
      <c r="D321" s="10">
        <v>13</v>
      </c>
      <c r="E321" s="10" t="s">
        <v>66</v>
      </c>
      <c r="F321" s="11" t="s">
        <v>534</v>
      </c>
      <c r="G321" s="12" t="s">
        <v>226</v>
      </c>
      <c r="H321" s="11" t="s">
        <v>1351</v>
      </c>
      <c r="I321" s="11" t="s">
        <v>953</v>
      </c>
      <c r="J321" s="10"/>
      <c r="K321" s="10" t="s">
        <v>61</v>
      </c>
      <c r="L321" s="13" t="s">
        <v>62</v>
      </c>
      <c r="M321" s="14"/>
      <c r="N321" s="15" t="s">
        <v>1352</v>
      </c>
      <c r="O321" s="16"/>
      <c r="P321" s="14" t="s">
        <v>64</v>
      </c>
      <c r="Q321" s="17">
        <f t="shared" si="20"/>
        <v>2.0699015948422106E-2</v>
      </c>
      <c r="R321" s="11"/>
      <c r="S321" s="18">
        <f t="shared" si="16"/>
        <v>57.72</v>
      </c>
      <c r="T321" s="18">
        <f t="shared" si="17"/>
        <v>58.94</v>
      </c>
    </row>
    <row r="322" spans="1:20" ht="28.8" x14ac:dyDescent="0.3">
      <c r="A322" s="9" t="s">
        <v>1353</v>
      </c>
      <c r="B322" s="10" t="s">
        <v>950</v>
      </c>
      <c r="C322" s="10" t="s">
        <v>533</v>
      </c>
      <c r="D322" s="10">
        <v>13</v>
      </c>
      <c r="E322" s="10" t="s">
        <v>70</v>
      </c>
      <c r="F322" s="11" t="s">
        <v>540</v>
      </c>
      <c r="G322" s="12" t="s">
        <v>1354</v>
      </c>
      <c r="H322" s="11" t="s">
        <v>1355</v>
      </c>
      <c r="I322" s="11" t="s">
        <v>953</v>
      </c>
      <c r="J322" s="10"/>
      <c r="K322" s="10" t="s">
        <v>61</v>
      </c>
      <c r="L322" s="13" t="s">
        <v>62</v>
      </c>
      <c r="M322" s="14"/>
      <c r="N322" s="15" t="s">
        <v>1356</v>
      </c>
      <c r="O322" s="16"/>
      <c r="P322" s="14" t="s">
        <v>64</v>
      </c>
      <c r="Q322" s="17">
        <f t="shared" si="20"/>
        <v>1.7307843600031379E-3</v>
      </c>
      <c r="R322" s="11"/>
      <c r="S322" s="18">
        <f t="shared" ref="S322:S385" si="21">IF(G322="","",IF(ISNUMBER(SEARCH(":",G322)),VALUE(LEFT(G322,SEARCH(":",G322)-1))*60+VALUE(MID(G322,SEARCH(":",G322)+1,99)),VALUE(G322)))</f>
        <v>126.89</v>
      </c>
      <c r="T322" s="18">
        <f t="shared" ref="T322:T385" si="22">IF(N322="","",IF(ISNUMBER(SEARCH(":",N322)),VALUE(LEFT(N322,SEARCH(":",N322)-1))*60+VALUE(MID(N322,SEARCH(":",N322)+1,99)),VALUE(N322)))</f>
        <v>127.11</v>
      </c>
    </row>
    <row r="323" spans="1:20" ht="28.8" x14ac:dyDescent="0.3">
      <c r="A323" s="9" t="s">
        <v>1357</v>
      </c>
      <c r="B323" s="10" t="s">
        <v>950</v>
      </c>
      <c r="C323" s="10" t="s">
        <v>533</v>
      </c>
      <c r="D323" s="10">
        <v>13</v>
      </c>
      <c r="E323" s="10" t="s">
        <v>75</v>
      </c>
      <c r="F323" s="11" t="s">
        <v>1358</v>
      </c>
      <c r="G323" s="12" t="s">
        <v>1359</v>
      </c>
      <c r="H323" s="11" t="s">
        <v>1360</v>
      </c>
      <c r="I323" s="11" t="s">
        <v>953</v>
      </c>
      <c r="J323" s="10"/>
      <c r="K323" s="10" t="s">
        <v>61</v>
      </c>
      <c r="L323" s="13" t="s">
        <v>62</v>
      </c>
      <c r="M323" s="14"/>
      <c r="N323" s="15" t="s">
        <v>1361</v>
      </c>
      <c r="O323" s="16"/>
      <c r="P323" s="14" t="s">
        <v>64</v>
      </c>
      <c r="Q323" s="17">
        <f t="shared" si="20"/>
        <v>4.8404512789962072E-3</v>
      </c>
      <c r="R323" s="11"/>
      <c r="S323" s="18">
        <f t="shared" si="21"/>
        <v>267.27</v>
      </c>
      <c r="T323" s="18">
        <f t="shared" si="22"/>
        <v>268.57</v>
      </c>
    </row>
    <row r="324" spans="1:20" ht="28.8" x14ac:dyDescent="0.3">
      <c r="A324" s="9" t="s">
        <v>1362</v>
      </c>
      <c r="B324" s="10" t="s">
        <v>950</v>
      </c>
      <c r="C324" s="10" t="s">
        <v>533</v>
      </c>
      <c r="D324" s="10">
        <v>13</v>
      </c>
      <c r="E324" s="10" t="s">
        <v>80</v>
      </c>
      <c r="F324" s="11" t="s">
        <v>626</v>
      </c>
      <c r="G324" s="12" t="s">
        <v>1363</v>
      </c>
      <c r="H324" s="11" t="s">
        <v>1364</v>
      </c>
      <c r="I324" s="11" t="s">
        <v>953</v>
      </c>
      <c r="J324" s="10"/>
      <c r="K324" s="10" t="s">
        <v>61</v>
      </c>
      <c r="L324" s="13" t="s">
        <v>62</v>
      </c>
      <c r="M324" s="14"/>
      <c r="N324" s="15" t="s">
        <v>1365</v>
      </c>
      <c r="O324" s="16"/>
      <c r="P324" s="14" t="s">
        <v>64</v>
      </c>
      <c r="Q324" s="17">
        <f t="shared" si="20"/>
        <v>8.3212735166423839E-3</v>
      </c>
      <c r="R324" s="11"/>
      <c r="S324" s="18">
        <f t="shared" si="21"/>
        <v>548.20000000000005</v>
      </c>
      <c r="T324" s="18">
        <f t="shared" si="22"/>
        <v>552.79999999999995</v>
      </c>
    </row>
    <row r="325" spans="1:20" ht="28.8" x14ac:dyDescent="0.3">
      <c r="A325" s="9" t="s">
        <v>1366</v>
      </c>
      <c r="B325" s="10" t="s">
        <v>950</v>
      </c>
      <c r="C325" s="10" t="s">
        <v>533</v>
      </c>
      <c r="D325" s="10">
        <v>13</v>
      </c>
      <c r="E325" s="10" t="s">
        <v>86</v>
      </c>
      <c r="F325" s="11" t="s">
        <v>1367</v>
      </c>
      <c r="G325" s="12" t="s">
        <v>1368</v>
      </c>
      <c r="H325" s="11" t="s">
        <v>1369</v>
      </c>
      <c r="I325" s="11" t="s">
        <v>953</v>
      </c>
      <c r="J325" s="10"/>
      <c r="K325" s="10" t="s">
        <v>61</v>
      </c>
      <c r="L325" s="13" t="s">
        <v>62</v>
      </c>
      <c r="M325" s="14"/>
      <c r="N325" s="15" t="s">
        <v>1370</v>
      </c>
      <c r="O325" s="16"/>
      <c r="P325" s="14" t="s">
        <v>64</v>
      </c>
      <c r="Q325" s="17">
        <f t="shared" si="20"/>
        <v>3.2749150861302668E-3</v>
      </c>
      <c r="R325" s="11"/>
      <c r="S325" s="18">
        <f t="shared" si="21"/>
        <v>1065.23</v>
      </c>
      <c r="T325" s="18">
        <f t="shared" si="22"/>
        <v>1068.73</v>
      </c>
    </row>
    <row r="326" spans="1:20" ht="28.8" x14ac:dyDescent="0.3">
      <c r="A326" s="9" t="s">
        <v>1371</v>
      </c>
      <c r="B326" s="10" t="s">
        <v>950</v>
      </c>
      <c r="C326" s="10" t="s">
        <v>533</v>
      </c>
      <c r="D326" s="10">
        <v>13</v>
      </c>
      <c r="E326" s="10" t="s">
        <v>92</v>
      </c>
      <c r="F326" s="11" t="s">
        <v>534</v>
      </c>
      <c r="G326" s="12" t="s">
        <v>1372</v>
      </c>
      <c r="H326" s="11" t="s">
        <v>1348</v>
      </c>
      <c r="I326" s="11" t="s">
        <v>953</v>
      </c>
      <c r="J326" s="10"/>
      <c r="K326" s="10" t="s">
        <v>61</v>
      </c>
      <c r="L326" s="13" t="s">
        <v>62</v>
      </c>
      <c r="M326" s="14" t="s">
        <v>564</v>
      </c>
      <c r="N326" s="15" t="s">
        <v>1373</v>
      </c>
      <c r="O326" s="16"/>
      <c r="P326" s="14" t="s">
        <v>64</v>
      </c>
      <c r="Q326" s="17">
        <f t="shared" si="20"/>
        <v>3.4317089910775568E-2</v>
      </c>
      <c r="R326" s="11"/>
      <c r="S326" s="18">
        <f t="shared" si="21"/>
        <v>28.14</v>
      </c>
      <c r="T326" s="18">
        <f t="shared" si="22"/>
        <v>29.14</v>
      </c>
    </row>
    <row r="327" spans="1:20" ht="28.8" x14ac:dyDescent="0.3">
      <c r="A327" s="9" t="s">
        <v>1374</v>
      </c>
      <c r="B327" s="10" t="s">
        <v>950</v>
      </c>
      <c r="C327" s="10" t="s">
        <v>533</v>
      </c>
      <c r="D327" s="10">
        <v>13</v>
      </c>
      <c r="E327" s="10" t="s">
        <v>98</v>
      </c>
      <c r="F327" s="11" t="s">
        <v>564</v>
      </c>
      <c r="G327" s="12" t="s">
        <v>1375</v>
      </c>
      <c r="H327" s="11" t="s">
        <v>1376</v>
      </c>
      <c r="I327" s="11" t="s">
        <v>953</v>
      </c>
      <c r="J327" s="10"/>
      <c r="K327" s="10" t="s">
        <v>61</v>
      </c>
      <c r="L327" s="13" t="s">
        <v>62</v>
      </c>
      <c r="M327" s="14"/>
      <c r="N327" s="15" t="s">
        <v>1377</v>
      </c>
      <c r="O327" s="16"/>
      <c r="P327" s="14" t="s">
        <v>64</v>
      </c>
      <c r="Q327" s="17">
        <f t="shared" si="20"/>
        <v>8.2526583082049836E-3</v>
      </c>
      <c r="R327" s="11"/>
      <c r="S327" s="18">
        <f t="shared" si="21"/>
        <v>62.49</v>
      </c>
      <c r="T327" s="18">
        <f t="shared" si="22"/>
        <v>63.01</v>
      </c>
    </row>
    <row r="328" spans="1:20" ht="28.8" x14ac:dyDescent="0.3">
      <c r="A328" s="9" t="s">
        <v>1378</v>
      </c>
      <c r="B328" s="10" t="s">
        <v>950</v>
      </c>
      <c r="C328" s="10" t="s">
        <v>533</v>
      </c>
      <c r="D328" s="10">
        <v>13</v>
      </c>
      <c r="E328" s="10" t="s">
        <v>103</v>
      </c>
      <c r="F328" s="11" t="s">
        <v>564</v>
      </c>
      <c r="G328" s="12" t="s">
        <v>1379</v>
      </c>
      <c r="H328" s="11" t="s">
        <v>1380</v>
      </c>
      <c r="I328" s="11" t="s">
        <v>953</v>
      </c>
      <c r="J328" s="10"/>
      <c r="K328" s="10" t="s">
        <v>61</v>
      </c>
      <c r="L328" s="13" t="s">
        <v>62</v>
      </c>
      <c r="M328" s="14"/>
      <c r="N328" s="15" t="s">
        <v>1381</v>
      </c>
      <c r="O328" s="16"/>
      <c r="P328" s="14" t="s">
        <v>64</v>
      </c>
      <c r="Q328" s="17">
        <f t="shared" si="20"/>
        <v>2.5650237103031995E-2</v>
      </c>
      <c r="R328" s="11"/>
      <c r="S328" s="18">
        <f t="shared" si="21"/>
        <v>135.61000000000001</v>
      </c>
      <c r="T328" s="18">
        <f t="shared" si="22"/>
        <v>139.18</v>
      </c>
    </row>
    <row r="329" spans="1:20" ht="28.8" x14ac:dyDescent="0.3">
      <c r="A329" s="9" t="s">
        <v>1382</v>
      </c>
      <c r="B329" s="10" t="s">
        <v>950</v>
      </c>
      <c r="C329" s="10" t="s">
        <v>533</v>
      </c>
      <c r="D329" s="10">
        <v>13</v>
      </c>
      <c r="E329" s="10" t="s">
        <v>109</v>
      </c>
      <c r="F329" s="11" t="s">
        <v>1383</v>
      </c>
      <c r="G329" s="12" t="s">
        <v>1384</v>
      </c>
      <c r="H329" s="11" t="s">
        <v>1385</v>
      </c>
      <c r="I329" s="11" t="s">
        <v>953</v>
      </c>
      <c r="J329" s="10"/>
      <c r="K329" s="10" t="s">
        <v>61</v>
      </c>
      <c r="L329" s="13" t="s">
        <v>62</v>
      </c>
      <c r="M329" s="14"/>
      <c r="N329" s="15" t="s">
        <v>1386</v>
      </c>
      <c r="O329" s="16"/>
      <c r="P329" s="14" t="s">
        <v>64</v>
      </c>
      <c r="Q329" s="17">
        <f t="shared" si="20"/>
        <v>9.7951914514692283E-3</v>
      </c>
      <c r="R329" s="11"/>
      <c r="S329" s="18">
        <f t="shared" si="21"/>
        <v>33.36</v>
      </c>
      <c r="T329" s="18">
        <f t="shared" si="22"/>
        <v>33.69</v>
      </c>
    </row>
    <row r="330" spans="1:20" ht="28.8" x14ac:dyDescent="0.3">
      <c r="A330" s="9" t="s">
        <v>1387</v>
      </c>
      <c r="B330" s="10" t="s">
        <v>950</v>
      </c>
      <c r="C330" s="10" t="s">
        <v>533</v>
      </c>
      <c r="D330" s="10">
        <v>13</v>
      </c>
      <c r="E330" s="10" t="s">
        <v>115</v>
      </c>
      <c r="F330" s="11" t="s">
        <v>572</v>
      </c>
      <c r="G330" s="12" t="s">
        <v>1388</v>
      </c>
      <c r="H330" s="11" t="s">
        <v>1389</v>
      </c>
      <c r="I330" s="11" t="s">
        <v>953</v>
      </c>
      <c r="J330" s="10"/>
      <c r="K330" s="10" t="s">
        <v>61</v>
      </c>
      <c r="L330" s="13" t="s">
        <v>62</v>
      </c>
      <c r="M330" s="14"/>
      <c r="N330" s="15" t="s">
        <v>1390</v>
      </c>
      <c r="O330" s="16"/>
      <c r="P330" s="14" t="s">
        <v>64</v>
      </c>
      <c r="Q330" s="17">
        <f t="shared" si="20"/>
        <v>1.0823975104857221E-2</v>
      </c>
      <c r="R330" s="11"/>
      <c r="S330" s="18">
        <f t="shared" si="21"/>
        <v>73.11</v>
      </c>
      <c r="T330" s="18">
        <f t="shared" si="22"/>
        <v>73.91</v>
      </c>
    </row>
    <row r="331" spans="1:20" ht="28.8" x14ac:dyDescent="0.3">
      <c r="A331" s="9" t="s">
        <v>1391</v>
      </c>
      <c r="B331" s="10" t="s">
        <v>950</v>
      </c>
      <c r="C331" s="10" t="s">
        <v>533</v>
      </c>
      <c r="D331" s="10">
        <v>13</v>
      </c>
      <c r="E331" s="10" t="s">
        <v>120</v>
      </c>
      <c r="F331" s="11" t="s">
        <v>572</v>
      </c>
      <c r="G331" s="12" t="s">
        <v>1392</v>
      </c>
      <c r="H331" s="11" t="s">
        <v>1393</v>
      </c>
      <c r="I331" s="11" t="s">
        <v>953</v>
      </c>
      <c r="J331" s="10"/>
      <c r="K331" s="10" t="s">
        <v>61</v>
      </c>
      <c r="L331" s="13" t="s">
        <v>62</v>
      </c>
      <c r="M331" s="14"/>
      <c r="N331" s="15" t="s">
        <v>1394</v>
      </c>
      <c r="O331" s="16"/>
      <c r="P331" s="14" t="s">
        <v>64</v>
      </c>
      <c r="Q331" s="17">
        <f t="shared" si="20"/>
        <v>1.5332411712957131E-2</v>
      </c>
      <c r="R331" s="11"/>
      <c r="S331" s="18">
        <f t="shared" si="21"/>
        <v>156.69999999999999</v>
      </c>
      <c r="T331" s="18">
        <f t="shared" si="22"/>
        <v>159.13999999999999</v>
      </c>
    </row>
    <row r="332" spans="1:20" ht="28.8" x14ac:dyDescent="0.3">
      <c r="A332" s="9" t="s">
        <v>1395</v>
      </c>
      <c r="B332" s="10" t="s">
        <v>950</v>
      </c>
      <c r="C332" s="10" t="s">
        <v>533</v>
      </c>
      <c r="D332" s="10">
        <v>13</v>
      </c>
      <c r="E332" s="10" t="s">
        <v>126</v>
      </c>
      <c r="F332" s="11" t="s">
        <v>1396</v>
      </c>
      <c r="G332" s="12" t="s">
        <v>1397</v>
      </c>
      <c r="H332" s="11" t="s">
        <v>1179</v>
      </c>
      <c r="I332" s="11" t="s">
        <v>953</v>
      </c>
      <c r="J332" s="10"/>
      <c r="K332" s="10" t="s">
        <v>61</v>
      </c>
      <c r="L332" s="13" t="s">
        <v>62</v>
      </c>
      <c r="M332" s="14"/>
      <c r="N332" s="15" t="s">
        <v>1398</v>
      </c>
      <c r="O332" s="16"/>
      <c r="P332" s="14" t="s">
        <v>64</v>
      </c>
      <c r="Q332" s="17">
        <f t="shared" si="20"/>
        <v>1.4084507042253223E-3</v>
      </c>
      <c r="R332" s="11"/>
      <c r="S332" s="18">
        <f t="shared" si="21"/>
        <v>28.36</v>
      </c>
      <c r="T332" s="18">
        <f t="shared" si="22"/>
        <v>28.4</v>
      </c>
    </row>
    <row r="333" spans="1:20" ht="28.8" x14ac:dyDescent="0.3">
      <c r="A333" s="9" t="s">
        <v>1399</v>
      </c>
      <c r="B333" s="10" t="s">
        <v>950</v>
      </c>
      <c r="C333" s="10" t="s">
        <v>533</v>
      </c>
      <c r="D333" s="10">
        <v>13</v>
      </c>
      <c r="E333" s="10" t="s">
        <v>130</v>
      </c>
      <c r="F333" s="11" t="s">
        <v>617</v>
      </c>
      <c r="G333" s="12" t="s">
        <v>1400</v>
      </c>
      <c r="H333" s="11" t="s">
        <v>1401</v>
      </c>
      <c r="I333" s="11" t="s">
        <v>953</v>
      </c>
      <c r="J333" s="10"/>
      <c r="K333" s="10" t="s">
        <v>61</v>
      </c>
      <c r="L333" s="13" t="s">
        <v>62</v>
      </c>
      <c r="M333" s="14"/>
      <c r="N333" s="15" t="s">
        <v>1402</v>
      </c>
      <c r="O333" s="16"/>
      <c r="P333" s="14" t="s">
        <v>64</v>
      </c>
      <c r="Q333" s="17">
        <f t="shared" si="20"/>
        <v>9.0938098276962392E-3</v>
      </c>
      <c r="R333" s="11"/>
      <c r="S333" s="18">
        <f t="shared" si="21"/>
        <v>62.11</v>
      </c>
      <c r="T333" s="18">
        <f t="shared" si="22"/>
        <v>62.68</v>
      </c>
    </row>
    <row r="334" spans="1:20" ht="28.8" x14ac:dyDescent="0.3">
      <c r="A334" s="9" t="s">
        <v>1403</v>
      </c>
      <c r="B334" s="10" t="s">
        <v>950</v>
      </c>
      <c r="C334" s="10" t="s">
        <v>533</v>
      </c>
      <c r="D334" s="10">
        <v>13</v>
      </c>
      <c r="E334" s="10" t="s">
        <v>135</v>
      </c>
      <c r="F334" s="11" t="s">
        <v>1404</v>
      </c>
      <c r="G334" s="12" t="s">
        <v>1405</v>
      </c>
      <c r="H334" s="11" t="s">
        <v>1406</v>
      </c>
      <c r="I334" s="11" t="s">
        <v>953</v>
      </c>
      <c r="J334" s="10"/>
      <c r="K334" s="10" t="s">
        <v>61</v>
      </c>
      <c r="L334" s="13" t="s">
        <v>62</v>
      </c>
      <c r="M334" s="14"/>
      <c r="N334" s="15" t="s">
        <v>1407</v>
      </c>
      <c r="O334" s="16"/>
      <c r="P334" s="14" t="s">
        <v>64</v>
      </c>
      <c r="Q334" s="17">
        <f t="shared" si="20"/>
        <v>1.0263929618768321E-2</v>
      </c>
      <c r="R334" s="11"/>
      <c r="S334" s="18">
        <f t="shared" si="21"/>
        <v>141.75</v>
      </c>
      <c r="T334" s="18">
        <f t="shared" si="22"/>
        <v>143.22</v>
      </c>
    </row>
    <row r="335" spans="1:20" ht="28.8" x14ac:dyDescent="0.3">
      <c r="A335" s="9" t="s">
        <v>1408</v>
      </c>
      <c r="B335" s="10" t="s">
        <v>950</v>
      </c>
      <c r="C335" s="10" t="s">
        <v>533</v>
      </c>
      <c r="D335" s="10">
        <v>13</v>
      </c>
      <c r="E335" s="10" t="s">
        <v>146</v>
      </c>
      <c r="F335" s="11" t="s">
        <v>1409</v>
      </c>
      <c r="G335" s="12" t="s">
        <v>1410</v>
      </c>
      <c r="H335" s="11" t="s">
        <v>1411</v>
      </c>
      <c r="I335" s="11" t="s">
        <v>953</v>
      </c>
      <c r="J335" s="10"/>
      <c r="K335" s="10" t="s">
        <v>61</v>
      </c>
      <c r="L335" s="13" t="s">
        <v>62</v>
      </c>
      <c r="M335" s="14"/>
      <c r="N335" s="15" t="s">
        <v>1412</v>
      </c>
      <c r="O335" s="16"/>
      <c r="P335" s="14" t="s">
        <v>64</v>
      </c>
      <c r="Q335" s="17">
        <f t="shared" si="20"/>
        <v>3.5087719298245615E-3</v>
      </c>
      <c r="R335" s="11"/>
      <c r="S335" s="18">
        <f t="shared" si="21"/>
        <v>142</v>
      </c>
      <c r="T335" s="18">
        <f t="shared" si="22"/>
        <v>142.5</v>
      </c>
    </row>
    <row r="336" spans="1:20" ht="28.8" x14ac:dyDescent="0.3">
      <c r="A336" s="9" t="s">
        <v>1413</v>
      </c>
      <c r="B336" s="10" t="s">
        <v>950</v>
      </c>
      <c r="C336" s="10" t="s">
        <v>533</v>
      </c>
      <c r="D336" s="10">
        <v>13</v>
      </c>
      <c r="E336" s="10" t="s">
        <v>150</v>
      </c>
      <c r="F336" s="11" t="s">
        <v>601</v>
      </c>
      <c r="G336" s="12" t="s">
        <v>1414</v>
      </c>
      <c r="H336" s="11" t="s">
        <v>1415</v>
      </c>
      <c r="I336" s="11" t="s">
        <v>953</v>
      </c>
      <c r="J336" s="10"/>
      <c r="K336" s="10" t="s">
        <v>61</v>
      </c>
      <c r="L336" s="13" t="s">
        <v>62</v>
      </c>
      <c r="M336" s="14"/>
      <c r="N336" s="15" t="s">
        <v>1416</v>
      </c>
      <c r="O336" s="16"/>
      <c r="P336" s="14" t="s">
        <v>64</v>
      </c>
      <c r="Q336" s="17">
        <f t="shared" si="20"/>
        <v>4.2847178397051201E-3</v>
      </c>
      <c r="R336" s="11"/>
      <c r="S336" s="18">
        <f t="shared" si="21"/>
        <v>299.77999999999997</v>
      </c>
      <c r="T336" s="18">
        <f t="shared" si="22"/>
        <v>301.07</v>
      </c>
    </row>
    <row r="337" spans="1:20" ht="28.8" x14ac:dyDescent="0.3">
      <c r="A337" s="9" t="s">
        <v>1417</v>
      </c>
      <c r="B337" s="10" t="s">
        <v>950</v>
      </c>
      <c r="C337" s="10" t="s">
        <v>533</v>
      </c>
      <c r="D337" s="10">
        <v>14</v>
      </c>
      <c r="E337" s="10" t="s">
        <v>56</v>
      </c>
      <c r="F337" s="11" t="s">
        <v>534</v>
      </c>
      <c r="G337" s="12" t="s">
        <v>1418</v>
      </c>
      <c r="H337" s="11" t="s">
        <v>1419</v>
      </c>
      <c r="I337" s="11" t="s">
        <v>953</v>
      </c>
      <c r="J337" s="10"/>
      <c r="K337" s="10" t="s">
        <v>61</v>
      </c>
      <c r="L337" s="13" t="s">
        <v>62</v>
      </c>
      <c r="M337" s="14"/>
      <c r="N337" s="15" t="s">
        <v>1420</v>
      </c>
      <c r="O337" s="16"/>
      <c r="P337" s="14" t="s">
        <v>64</v>
      </c>
      <c r="Q337" s="17">
        <f t="shared" ref="Q337:Q368" si="23">IF(OR(S337="",T337=""),"",(T337-S337)/T337)</f>
        <v>1.1089866156787731E-2</v>
      </c>
      <c r="R337" s="11"/>
      <c r="S337" s="18">
        <f t="shared" si="21"/>
        <v>25.86</v>
      </c>
      <c r="T337" s="18">
        <f t="shared" si="22"/>
        <v>26.15</v>
      </c>
    </row>
    <row r="338" spans="1:20" ht="28.8" x14ac:dyDescent="0.3">
      <c r="A338" s="9" t="s">
        <v>1421</v>
      </c>
      <c r="B338" s="10" t="s">
        <v>950</v>
      </c>
      <c r="C338" s="10" t="s">
        <v>533</v>
      </c>
      <c r="D338" s="10">
        <v>14</v>
      </c>
      <c r="E338" s="10" t="s">
        <v>66</v>
      </c>
      <c r="F338" s="11" t="s">
        <v>540</v>
      </c>
      <c r="G338" s="12" t="s">
        <v>1422</v>
      </c>
      <c r="H338" s="11" t="s">
        <v>1423</v>
      </c>
      <c r="I338" s="11" t="s">
        <v>953</v>
      </c>
      <c r="J338" s="10"/>
      <c r="K338" s="10" t="s">
        <v>61</v>
      </c>
      <c r="L338" s="13" t="s">
        <v>62</v>
      </c>
      <c r="M338" s="14"/>
      <c r="N338" s="15" t="s">
        <v>1424</v>
      </c>
      <c r="O338" s="16"/>
      <c r="P338" s="14" t="s">
        <v>64</v>
      </c>
      <c r="Q338" s="17">
        <f t="shared" si="23"/>
        <v>1.5720524017467845E-3</v>
      </c>
      <c r="R338" s="11"/>
      <c r="S338" s="18">
        <f t="shared" si="21"/>
        <v>57.16</v>
      </c>
      <c r="T338" s="18">
        <f t="shared" si="22"/>
        <v>57.25</v>
      </c>
    </row>
    <row r="339" spans="1:20" ht="28.8" x14ac:dyDescent="0.3">
      <c r="A339" s="9" t="s">
        <v>1425</v>
      </c>
      <c r="B339" s="10" t="s">
        <v>950</v>
      </c>
      <c r="C339" s="10" t="s">
        <v>533</v>
      </c>
      <c r="D339" s="10">
        <v>14</v>
      </c>
      <c r="E339" s="10" t="s">
        <v>70</v>
      </c>
      <c r="F339" s="11" t="s">
        <v>540</v>
      </c>
      <c r="G339" s="12" t="s">
        <v>1426</v>
      </c>
      <c r="H339" s="11" t="s">
        <v>1427</v>
      </c>
      <c r="I339" s="11" t="s">
        <v>953</v>
      </c>
      <c r="J339" s="10"/>
      <c r="K339" s="10" t="s">
        <v>61</v>
      </c>
      <c r="L339" s="13" t="s">
        <v>62</v>
      </c>
      <c r="M339" s="14"/>
      <c r="N339" s="15" t="s">
        <v>1120</v>
      </c>
      <c r="O339" s="16"/>
      <c r="P339" s="14" t="s">
        <v>64</v>
      </c>
      <c r="Q339" s="17">
        <f t="shared" si="23"/>
        <v>6.50882759742899E-3</v>
      </c>
      <c r="R339" s="11"/>
      <c r="S339" s="18">
        <f t="shared" si="21"/>
        <v>122.11</v>
      </c>
      <c r="T339" s="18">
        <f t="shared" si="22"/>
        <v>122.91</v>
      </c>
    </row>
    <row r="340" spans="1:20" ht="28.8" x14ac:dyDescent="0.3">
      <c r="A340" s="9" t="s">
        <v>1428</v>
      </c>
      <c r="B340" s="10" t="s">
        <v>950</v>
      </c>
      <c r="C340" s="10" t="s">
        <v>533</v>
      </c>
      <c r="D340" s="10">
        <v>14</v>
      </c>
      <c r="E340" s="10" t="s">
        <v>75</v>
      </c>
      <c r="F340" s="11" t="s">
        <v>540</v>
      </c>
      <c r="G340" s="12" t="s">
        <v>1429</v>
      </c>
      <c r="H340" s="11" t="s">
        <v>1430</v>
      </c>
      <c r="I340" s="11" t="s">
        <v>953</v>
      </c>
      <c r="J340" s="10"/>
      <c r="K340" s="10" t="s">
        <v>61</v>
      </c>
      <c r="L340" s="13" t="s">
        <v>62</v>
      </c>
      <c r="M340" s="14" t="s">
        <v>1765</v>
      </c>
      <c r="N340" s="15" t="s">
        <v>1431</v>
      </c>
      <c r="O340" s="16"/>
      <c r="P340" s="14" t="s">
        <v>64</v>
      </c>
      <c r="Q340" s="17">
        <f t="shared" si="23"/>
        <v>2.9845035393150986E-2</v>
      </c>
      <c r="R340" s="11"/>
      <c r="S340" s="18">
        <f t="shared" si="21"/>
        <v>253.55</v>
      </c>
      <c r="T340" s="18">
        <f t="shared" si="22"/>
        <v>261.35000000000002</v>
      </c>
    </row>
    <row r="341" spans="1:20" ht="28.8" x14ac:dyDescent="0.3">
      <c r="A341" s="9" t="s">
        <v>1432</v>
      </c>
      <c r="B341" s="10" t="s">
        <v>950</v>
      </c>
      <c r="C341" s="10" t="s">
        <v>533</v>
      </c>
      <c r="D341" s="10">
        <v>14</v>
      </c>
      <c r="E341" s="10" t="s">
        <v>80</v>
      </c>
      <c r="F341" s="11" t="s">
        <v>540</v>
      </c>
      <c r="G341" s="12" t="s">
        <v>1433</v>
      </c>
      <c r="H341" s="11" t="s">
        <v>1434</v>
      </c>
      <c r="I341" s="11" t="s">
        <v>953</v>
      </c>
      <c r="J341" s="10"/>
      <c r="K341" s="10" t="s">
        <v>61</v>
      </c>
      <c r="L341" s="13" t="s">
        <v>62</v>
      </c>
      <c r="M341" s="14"/>
      <c r="N341" s="15" t="s">
        <v>1435</v>
      </c>
      <c r="O341" s="16"/>
      <c r="P341" s="14" t="s">
        <v>64</v>
      </c>
      <c r="Q341" s="17">
        <f t="shared" si="23"/>
        <v>1.5271156138260765E-3</v>
      </c>
      <c r="R341" s="11"/>
      <c r="S341" s="18">
        <f t="shared" si="21"/>
        <v>536.14</v>
      </c>
      <c r="T341" s="18">
        <f t="shared" si="22"/>
        <v>536.96</v>
      </c>
    </row>
    <row r="342" spans="1:20" ht="28.8" x14ac:dyDescent="0.3">
      <c r="A342" s="9" t="s">
        <v>1436</v>
      </c>
      <c r="B342" s="10" t="s">
        <v>950</v>
      </c>
      <c r="C342" s="10" t="s">
        <v>533</v>
      </c>
      <c r="D342" s="10">
        <v>14</v>
      </c>
      <c r="E342" s="10" t="s">
        <v>86</v>
      </c>
      <c r="F342" s="11" t="s">
        <v>1358</v>
      </c>
      <c r="G342" s="12" t="s">
        <v>1437</v>
      </c>
      <c r="H342" s="11" t="s">
        <v>1438</v>
      </c>
      <c r="I342" s="11" t="s">
        <v>953</v>
      </c>
      <c r="J342" s="10"/>
      <c r="K342" s="10" t="s">
        <v>61</v>
      </c>
      <c r="L342" s="13" t="s">
        <v>62</v>
      </c>
      <c r="M342" s="14"/>
      <c r="N342" s="15" t="s">
        <v>1439</v>
      </c>
      <c r="O342" s="16"/>
      <c r="P342" s="14" t="s">
        <v>64</v>
      </c>
      <c r="Q342" s="17">
        <f t="shared" si="23"/>
        <v>7.6018823708728046E-3</v>
      </c>
      <c r="R342" s="11"/>
      <c r="S342" s="18">
        <f t="shared" si="21"/>
        <v>1041.76</v>
      </c>
      <c r="T342" s="18">
        <f t="shared" si="22"/>
        <v>1049.74</v>
      </c>
    </row>
    <row r="343" spans="1:20" ht="28.8" x14ac:dyDescent="0.3">
      <c r="A343" s="9" t="s">
        <v>1440</v>
      </c>
      <c r="B343" s="10" t="s">
        <v>950</v>
      </c>
      <c r="C343" s="10" t="s">
        <v>533</v>
      </c>
      <c r="D343" s="10">
        <v>14</v>
      </c>
      <c r="E343" s="10" t="s">
        <v>92</v>
      </c>
      <c r="F343" s="11" t="s">
        <v>534</v>
      </c>
      <c r="G343" s="12" t="s">
        <v>1441</v>
      </c>
      <c r="H343" s="11" t="s">
        <v>1442</v>
      </c>
      <c r="I343" s="11" t="s">
        <v>953</v>
      </c>
      <c r="J343" s="10"/>
      <c r="K343" s="10" t="s">
        <v>61</v>
      </c>
      <c r="L343" s="13" t="s">
        <v>62</v>
      </c>
      <c r="M343" s="14"/>
      <c r="N343" s="15" t="s">
        <v>1443</v>
      </c>
      <c r="O343" s="16"/>
      <c r="P343" s="14" t="s">
        <v>64</v>
      </c>
      <c r="Q343" s="17">
        <f t="shared" si="23"/>
        <v>1.5527950310558982E-2</v>
      </c>
      <c r="R343" s="11"/>
      <c r="S343" s="18">
        <f t="shared" si="21"/>
        <v>28.53</v>
      </c>
      <c r="T343" s="18">
        <f t="shared" si="22"/>
        <v>28.98</v>
      </c>
    </row>
    <row r="344" spans="1:20" ht="28.8" x14ac:dyDescent="0.3">
      <c r="A344" s="9" t="s">
        <v>1444</v>
      </c>
      <c r="B344" s="10" t="s">
        <v>950</v>
      </c>
      <c r="C344" s="10" t="s">
        <v>533</v>
      </c>
      <c r="D344" s="10">
        <v>14</v>
      </c>
      <c r="E344" s="10" t="s">
        <v>98</v>
      </c>
      <c r="F344" s="11" t="s">
        <v>564</v>
      </c>
      <c r="G344" s="12" t="s">
        <v>1445</v>
      </c>
      <c r="H344" s="11" t="s">
        <v>1446</v>
      </c>
      <c r="I344" s="11" t="s">
        <v>953</v>
      </c>
      <c r="J344" s="10"/>
      <c r="K344" s="10" t="s">
        <v>61</v>
      </c>
      <c r="L344" s="13" t="s">
        <v>62</v>
      </c>
      <c r="M344" s="14"/>
      <c r="N344" s="15" t="s">
        <v>1447</v>
      </c>
      <c r="O344" s="16"/>
      <c r="P344" s="14" t="s">
        <v>64</v>
      </c>
      <c r="Q344" s="17">
        <f t="shared" si="23"/>
        <v>1.1415525114155298E-3</v>
      </c>
      <c r="R344" s="11"/>
      <c r="S344" s="18">
        <f t="shared" si="21"/>
        <v>61.25</v>
      </c>
      <c r="T344" s="18">
        <f t="shared" si="22"/>
        <v>61.32</v>
      </c>
    </row>
    <row r="345" spans="1:20" ht="28.8" x14ac:dyDescent="0.3">
      <c r="A345" s="9" t="s">
        <v>1448</v>
      </c>
      <c r="B345" s="10" t="s">
        <v>950</v>
      </c>
      <c r="C345" s="10" t="s">
        <v>533</v>
      </c>
      <c r="D345" s="10">
        <v>14</v>
      </c>
      <c r="E345" s="10" t="s">
        <v>103</v>
      </c>
      <c r="F345" s="11" t="s">
        <v>617</v>
      </c>
      <c r="G345" s="12" t="s">
        <v>1449</v>
      </c>
      <c r="H345" s="11" t="s">
        <v>1450</v>
      </c>
      <c r="I345" s="11" t="s">
        <v>953</v>
      </c>
      <c r="J345" s="10"/>
      <c r="K345" s="10" t="s">
        <v>61</v>
      </c>
      <c r="L345" s="13" t="s">
        <v>62</v>
      </c>
      <c r="M345" s="14"/>
      <c r="N345" s="15" t="s">
        <v>1451</v>
      </c>
      <c r="O345" s="16"/>
      <c r="P345" s="14" t="s">
        <v>64</v>
      </c>
      <c r="Q345" s="17">
        <f t="shared" si="23"/>
        <v>1.4167650531287011E-2</v>
      </c>
      <c r="R345" s="11"/>
      <c r="S345" s="18">
        <f t="shared" si="21"/>
        <v>133.6</v>
      </c>
      <c r="T345" s="18">
        <f t="shared" si="22"/>
        <v>135.52000000000001</v>
      </c>
    </row>
    <row r="346" spans="1:20" ht="28.8" x14ac:dyDescent="0.3">
      <c r="A346" s="9" t="s">
        <v>1452</v>
      </c>
      <c r="B346" s="10" t="s">
        <v>950</v>
      </c>
      <c r="C346" s="10" t="s">
        <v>533</v>
      </c>
      <c r="D346" s="10">
        <v>14</v>
      </c>
      <c r="E346" s="10" t="s">
        <v>109</v>
      </c>
      <c r="F346" s="11" t="s">
        <v>1453</v>
      </c>
      <c r="G346" s="12" t="s">
        <v>1454</v>
      </c>
      <c r="H346" s="11" t="s">
        <v>1455</v>
      </c>
      <c r="I346" s="11" t="s">
        <v>953</v>
      </c>
      <c r="J346" s="10"/>
      <c r="K346" s="10" t="s">
        <v>61</v>
      </c>
      <c r="L346" s="13" t="s">
        <v>62</v>
      </c>
      <c r="M346" s="14"/>
      <c r="N346" s="15" t="s">
        <v>1456</v>
      </c>
      <c r="O346" s="16"/>
      <c r="P346" s="14" t="s">
        <v>64</v>
      </c>
      <c r="Q346" s="17">
        <f t="shared" si="23"/>
        <v>2.7413950654887696E-3</v>
      </c>
      <c r="R346" s="11"/>
      <c r="S346" s="18">
        <f t="shared" si="21"/>
        <v>32.74</v>
      </c>
      <c r="T346" s="18">
        <f t="shared" si="22"/>
        <v>32.83</v>
      </c>
    </row>
    <row r="347" spans="1:20" ht="28.8" x14ac:dyDescent="0.3">
      <c r="A347" s="9" t="s">
        <v>1457</v>
      </c>
      <c r="B347" s="10" t="s">
        <v>950</v>
      </c>
      <c r="C347" s="10" t="s">
        <v>533</v>
      </c>
      <c r="D347" s="10">
        <v>14</v>
      </c>
      <c r="E347" s="10" t="s">
        <v>115</v>
      </c>
      <c r="F347" s="11" t="s">
        <v>658</v>
      </c>
      <c r="G347" s="12" t="s">
        <v>1458</v>
      </c>
      <c r="H347" s="11" t="s">
        <v>1223</v>
      </c>
      <c r="I347" s="11" t="s">
        <v>953</v>
      </c>
      <c r="J347" s="10"/>
      <c r="K347" s="10" t="s">
        <v>61</v>
      </c>
      <c r="L347" s="13" t="s">
        <v>62</v>
      </c>
      <c r="M347" s="14"/>
      <c r="N347" s="15" t="s">
        <v>1459</v>
      </c>
      <c r="O347" s="16"/>
      <c r="P347" s="14" t="s">
        <v>64</v>
      </c>
      <c r="Q347" s="17">
        <f t="shared" si="23"/>
        <v>1.2331993903283921E-2</v>
      </c>
      <c r="R347" s="11"/>
      <c r="S347" s="18">
        <f t="shared" si="21"/>
        <v>71.28</v>
      </c>
      <c r="T347" s="18">
        <f t="shared" si="22"/>
        <v>72.17</v>
      </c>
    </row>
    <row r="348" spans="1:20" ht="28.8" x14ac:dyDescent="0.3">
      <c r="A348" s="9" t="s">
        <v>1460</v>
      </c>
      <c r="B348" s="10" t="s">
        <v>950</v>
      </c>
      <c r="C348" s="10" t="s">
        <v>533</v>
      </c>
      <c r="D348" s="10">
        <v>14</v>
      </c>
      <c r="E348" s="10" t="s">
        <v>120</v>
      </c>
      <c r="F348" s="11" t="s">
        <v>579</v>
      </c>
      <c r="G348" s="12" t="s">
        <v>1461</v>
      </c>
      <c r="H348" s="11" t="s">
        <v>1462</v>
      </c>
      <c r="I348" s="11" t="s">
        <v>953</v>
      </c>
      <c r="J348" s="10"/>
      <c r="K348" s="10" t="s">
        <v>61</v>
      </c>
      <c r="L348" s="13" t="s">
        <v>62</v>
      </c>
      <c r="M348" s="14"/>
      <c r="N348" s="15" t="s">
        <v>1463</v>
      </c>
      <c r="O348" s="16"/>
      <c r="P348" s="14" t="s">
        <v>64</v>
      </c>
      <c r="Q348" s="17">
        <f t="shared" si="23"/>
        <v>5.1766532936455478E-3</v>
      </c>
      <c r="R348" s="11"/>
      <c r="S348" s="18">
        <f t="shared" si="21"/>
        <v>153.74</v>
      </c>
      <c r="T348" s="18">
        <f t="shared" si="22"/>
        <v>154.54</v>
      </c>
    </row>
    <row r="349" spans="1:20" ht="28.8" x14ac:dyDescent="0.3">
      <c r="A349" s="9" t="s">
        <v>1464</v>
      </c>
      <c r="B349" s="10" t="s">
        <v>950</v>
      </c>
      <c r="C349" s="10" t="s">
        <v>533</v>
      </c>
      <c r="D349" s="10">
        <v>14</v>
      </c>
      <c r="E349" s="10" t="s">
        <v>126</v>
      </c>
      <c r="F349" s="11" t="s">
        <v>1465</v>
      </c>
      <c r="G349" s="12" t="s">
        <v>1466</v>
      </c>
      <c r="H349" s="11" t="s">
        <v>1467</v>
      </c>
      <c r="I349" s="11" t="s">
        <v>953</v>
      </c>
      <c r="J349" s="10"/>
      <c r="K349" s="10" t="s">
        <v>61</v>
      </c>
      <c r="L349" s="13" t="s">
        <v>62</v>
      </c>
      <c r="M349" s="14"/>
      <c r="N349" s="15" t="s">
        <v>1468</v>
      </c>
      <c r="O349" s="16"/>
      <c r="P349" s="14" t="s">
        <v>64</v>
      </c>
      <c r="Q349" s="17">
        <f t="shared" si="23"/>
        <v>4.6445158985351561E-3</v>
      </c>
      <c r="R349" s="11"/>
      <c r="S349" s="18">
        <f t="shared" si="21"/>
        <v>27.86</v>
      </c>
      <c r="T349" s="18">
        <f t="shared" si="22"/>
        <v>27.99</v>
      </c>
    </row>
    <row r="350" spans="1:20" ht="28.8" x14ac:dyDescent="0.3">
      <c r="A350" s="9" t="s">
        <v>1469</v>
      </c>
      <c r="B350" s="10" t="s">
        <v>950</v>
      </c>
      <c r="C350" s="10" t="s">
        <v>533</v>
      </c>
      <c r="D350" s="10">
        <v>14</v>
      </c>
      <c r="E350" s="10" t="s">
        <v>130</v>
      </c>
      <c r="F350" s="11" t="s">
        <v>583</v>
      </c>
      <c r="G350" s="12" t="s">
        <v>1470</v>
      </c>
      <c r="H350" s="11" t="s">
        <v>1471</v>
      </c>
      <c r="I350" s="11" t="s">
        <v>953</v>
      </c>
      <c r="J350" s="10"/>
      <c r="K350" s="10" t="s">
        <v>61</v>
      </c>
      <c r="L350" s="13" t="s">
        <v>62</v>
      </c>
      <c r="M350" s="14"/>
      <c r="N350" s="15" t="s">
        <v>1472</v>
      </c>
      <c r="O350" s="16"/>
      <c r="P350" s="14" t="s">
        <v>64</v>
      </c>
      <c r="Q350" s="17">
        <f t="shared" si="23"/>
        <v>1.4057507987220488E-2</v>
      </c>
      <c r="R350" s="11"/>
      <c r="S350" s="18">
        <f t="shared" si="21"/>
        <v>61.72</v>
      </c>
      <c r="T350" s="18">
        <f t="shared" si="22"/>
        <v>62.6</v>
      </c>
    </row>
    <row r="351" spans="1:20" ht="28.8" x14ac:dyDescent="0.3">
      <c r="A351" s="9" t="s">
        <v>1473</v>
      </c>
      <c r="B351" s="10" t="s">
        <v>950</v>
      </c>
      <c r="C351" s="10" t="s">
        <v>533</v>
      </c>
      <c r="D351" s="10">
        <v>14</v>
      </c>
      <c r="E351" s="10" t="s">
        <v>135</v>
      </c>
      <c r="F351" s="11" t="s">
        <v>668</v>
      </c>
      <c r="G351" s="12" t="s">
        <v>1474</v>
      </c>
      <c r="H351" s="11" t="s">
        <v>1475</v>
      </c>
      <c r="I351" s="11" t="s">
        <v>953</v>
      </c>
      <c r="J351" s="10"/>
      <c r="K351" s="10" t="s">
        <v>61</v>
      </c>
      <c r="L351" s="13" t="s">
        <v>62</v>
      </c>
      <c r="M351" s="14"/>
      <c r="N351" s="15" t="s">
        <v>1476</v>
      </c>
      <c r="O351" s="16"/>
      <c r="P351" s="14" t="s">
        <v>64</v>
      </c>
      <c r="Q351" s="17">
        <f t="shared" si="23"/>
        <v>6.1098332374927705E-3</v>
      </c>
      <c r="R351" s="11"/>
      <c r="S351" s="18">
        <f t="shared" si="21"/>
        <v>138.27000000000001</v>
      </c>
      <c r="T351" s="18">
        <f t="shared" si="22"/>
        <v>139.12</v>
      </c>
    </row>
    <row r="352" spans="1:20" ht="28.8" x14ac:dyDescent="0.3">
      <c r="A352" s="9" t="s">
        <v>1477</v>
      </c>
      <c r="B352" s="10" t="s">
        <v>950</v>
      </c>
      <c r="C352" s="10" t="s">
        <v>533</v>
      </c>
      <c r="D352" s="10">
        <v>14</v>
      </c>
      <c r="E352" s="10" t="s">
        <v>146</v>
      </c>
      <c r="F352" s="11" t="s">
        <v>1478</v>
      </c>
      <c r="G352" s="12" t="s">
        <v>1479</v>
      </c>
      <c r="H352" s="11" t="s">
        <v>1480</v>
      </c>
      <c r="I352" s="11" t="s">
        <v>953</v>
      </c>
      <c r="J352" s="10"/>
      <c r="K352" s="10" t="s">
        <v>61</v>
      </c>
      <c r="L352" s="13" t="s">
        <v>62</v>
      </c>
      <c r="M352" s="14"/>
      <c r="N352" s="15" t="s">
        <v>1481</v>
      </c>
      <c r="O352" s="16"/>
      <c r="P352" s="14" t="s">
        <v>64</v>
      </c>
      <c r="Q352" s="17">
        <f t="shared" si="23"/>
        <v>9.8800282286519228E-3</v>
      </c>
      <c r="R352" s="11"/>
      <c r="S352" s="18">
        <f t="shared" si="21"/>
        <v>140.30000000000001</v>
      </c>
      <c r="T352" s="18">
        <f t="shared" si="22"/>
        <v>141.69999999999999</v>
      </c>
    </row>
    <row r="353" spans="1:20" ht="28.8" x14ac:dyDescent="0.3">
      <c r="A353" s="9" t="s">
        <v>1482</v>
      </c>
      <c r="B353" s="10" t="s">
        <v>950</v>
      </c>
      <c r="C353" s="10" t="s">
        <v>533</v>
      </c>
      <c r="D353" s="10">
        <v>14</v>
      </c>
      <c r="E353" s="10" t="s">
        <v>150</v>
      </c>
      <c r="F353" s="11" t="s">
        <v>601</v>
      </c>
      <c r="G353" s="12" t="s">
        <v>1483</v>
      </c>
      <c r="H353" s="11" t="s">
        <v>1484</v>
      </c>
      <c r="I353" s="11" t="s">
        <v>953</v>
      </c>
      <c r="J353" s="10"/>
      <c r="K353" s="10" t="s">
        <v>61</v>
      </c>
      <c r="L353" s="13" t="s">
        <v>62</v>
      </c>
      <c r="M353" s="14"/>
      <c r="N353" s="15" t="s">
        <v>1485</v>
      </c>
      <c r="O353" s="16"/>
      <c r="P353" s="14" t="s">
        <v>64</v>
      </c>
      <c r="Q353" s="17">
        <f t="shared" si="23"/>
        <v>1.2953192640692586E-2</v>
      </c>
      <c r="R353" s="11"/>
      <c r="S353" s="18">
        <f t="shared" si="21"/>
        <v>291.85000000000002</v>
      </c>
      <c r="T353" s="18">
        <f t="shared" si="22"/>
        <v>295.68</v>
      </c>
    </row>
    <row r="354" spans="1:20" ht="28.8" x14ac:dyDescent="0.3">
      <c r="A354" s="9" t="s">
        <v>1486</v>
      </c>
      <c r="B354" s="10" t="s">
        <v>950</v>
      </c>
      <c r="C354" s="10" t="s">
        <v>533</v>
      </c>
      <c r="D354" s="10">
        <v>15</v>
      </c>
      <c r="E354" s="10" t="s">
        <v>56</v>
      </c>
      <c r="F354" s="11" t="s">
        <v>822</v>
      </c>
      <c r="G354" s="12" t="s">
        <v>1487</v>
      </c>
      <c r="H354" s="11" t="s">
        <v>1488</v>
      </c>
      <c r="I354" s="11" t="s">
        <v>953</v>
      </c>
      <c r="J354" s="10"/>
      <c r="K354" s="10" t="s">
        <v>61</v>
      </c>
      <c r="L354" s="13" t="s">
        <v>62</v>
      </c>
      <c r="M354" s="14"/>
      <c r="N354" s="15" t="s">
        <v>1489</v>
      </c>
      <c r="O354" s="16"/>
      <c r="P354" s="14" t="s">
        <v>64</v>
      </c>
      <c r="Q354" s="17">
        <f t="shared" si="23"/>
        <v>7.7972709551655259E-4</v>
      </c>
      <c r="R354" s="11"/>
      <c r="S354" s="18">
        <f t="shared" si="21"/>
        <v>25.63</v>
      </c>
      <c r="T354" s="18">
        <f t="shared" si="22"/>
        <v>25.65</v>
      </c>
    </row>
    <row r="355" spans="1:20" ht="28.8" x14ac:dyDescent="0.3">
      <c r="A355" s="9" t="s">
        <v>1490</v>
      </c>
      <c r="B355" s="10" t="s">
        <v>950</v>
      </c>
      <c r="C355" s="10" t="s">
        <v>533</v>
      </c>
      <c r="D355" s="10">
        <v>15</v>
      </c>
      <c r="E355" s="10" t="s">
        <v>66</v>
      </c>
      <c r="F355" s="11" t="s">
        <v>540</v>
      </c>
      <c r="G355" s="12" t="s">
        <v>1491</v>
      </c>
      <c r="H355" s="11" t="s">
        <v>1492</v>
      </c>
      <c r="I355" s="11" t="s">
        <v>953</v>
      </c>
      <c r="J355" s="10"/>
      <c r="K355" s="10" t="s">
        <v>61</v>
      </c>
      <c r="L355" s="13" t="s">
        <v>62</v>
      </c>
      <c r="M355" s="14"/>
      <c r="N355" s="15" t="s">
        <v>1493</v>
      </c>
      <c r="O355" s="16"/>
      <c r="P355" s="14" t="s">
        <v>64</v>
      </c>
      <c r="Q355" s="17">
        <f t="shared" si="23"/>
        <v>6.7881386209359676E-3</v>
      </c>
      <c r="R355" s="11"/>
      <c r="S355" s="18">
        <f t="shared" si="21"/>
        <v>55.6</v>
      </c>
      <c r="T355" s="18">
        <f t="shared" si="22"/>
        <v>55.98</v>
      </c>
    </row>
    <row r="356" spans="1:20" ht="28.8" x14ac:dyDescent="0.3">
      <c r="A356" s="9" t="s">
        <v>1494</v>
      </c>
      <c r="B356" s="10" t="s">
        <v>950</v>
      </c>
      <c r="C356" s="10" t="s">
        <v>533</v>
      </c>
      <c r="D356" s="10">
        <v>15</v>
      </c>
      <c r="E356" s="10" t="s">
        <v>70</v>
      </c>
      <c r="F356" s="11" t="s">
        <v>540</v>
      </c>
      <c r="G356" s="12" t="s">
        <v>1495</v>
      </c>
      <c r="H356" s="11" t="s">
        <v>1496</v>
      </c>
      <c r="I356" s="11" t="s">
        <v>953</v>
      </c>
      <c r="J356" s="10"/>
      <c r="K356" s="10" t="s">
        <v>61</v>
      </c>
      <c r="L356" s="13" t="s">
        <v>62</v>
      </c>
      <c r="M356" s="14" t="s">
        <v>1756</v>
      </c>
      <c r="N356" s="15" t="s">
        <v>1497</v>
      </c>
      <c r="O356" s="16"/>
      <c r="P356" s="14" t="s">
        <v>64</v>
      </c>
      <c r="Q356" s="17">
        <f t="shared" si="23"/>
        <v>3.4697217675941035E-2</v>
      </c>
      <c r="R356" s="11"/>
      <c r="S356" s="18">
        <f t="shared" si="21"/>
        <v>117.96000000000001</v>
      </c>
      <c r="T356" s="18">
        <f t="shared" si="22"/>
        <v>122.2</v>
      </c>
    </row>
    <row r="357" spans="1:20" ht="28.8" x14ac:dyDescent="0.3">
      <c r="A357" s="9" t="s">
        <v>1498</v>
      </c>
      <c r="B357" s="10" t="s">
        <v>950</v>
      </c>
      <c r="C357" s="10" t="s">
        <v>533</v>
      </c>
      <c r="D357" s="10">
        <v>15</v>
      </c>
      <c r="E357" s="10" t="s">
        <v>75</v>
      </c>
      <c r="F357" s="11" t="s">
        <v>540</v>
      </c>
      <c r="G357" s="12" t="s">
        <v>1499</v>
      </c>
      <c r="H357" s="11" t="s">
        <v>1500</v>
      </c>
      <c r="I357" s="11" t="s">
        <v>953</v>
      </c>
      <c r="J357" s="10"/>
      <c r="K357" s="10" t="s">
        <v>61</v>
      </c>
      <c r="L357" s="13" t="s">
        <v>62</v>
      </c>
      <c r="M357" s="14"/>
      <c r="N357" s="15" t="s">
        <v>622</v>
      </c>
      <c r="O357" s="16"/>
      <c r="P357" s="14" t="s">
        <v>64</v>
      </c>
      <c r="Q357" s="17">
        <f t="shared" si="23"/>
        <v>2.3473072695870584E-2</v>
      </c>
      <c r="R357" s="11"/>
      <c r="S357" s="18">
        <f t="shared" si="21"/>
        <v>248.78</v>
      </c>
      <c r="T357" s="18">
        <f t="shared" si="22"/>
        <v>254.76</v>
      </c>
    </row>
    <row r="358" spans="1:20" ht="28.8" x14ac:dyDescent="0.3">
      <c r="A358" s="9" t="s">
        <v>1501</v>
      </c>
      <c r="B358" s="10" t="s">
        <v>950</v>
      </c>
      <c r="C358" s="10" t="s">
        <v>533</v>
      </c>
      <c r="D358" s="10">
        <v>15</v>
      </c>
      <c r="E358" s="10" t="s">
        <v>80</v>
      </c>
      <c r="F358" s="11" t="s">
        <v>540</v>
      </c>
      <c r="G358" s="12" t="s">
        <v>1502</v>
      </c>
      <c r="H358" s="11" t="s">
        <v>1503</v>
      </c>
      <c r="I358" s="11" t="s">
        <v>953</v>
      </c>
      <c r="J358" s="10"/>
      <c r="K358" s="10" t="s">
        <v>61</v>
      </c>
      <c r="L358" s="13" t="s">
        <v>62</v>
      </c>
      <c r="M358" s="14"/>
      <c r="N358" s="15" t="s">
        <v>1504</v>
      </c>
      <c r="O358" s="16"/>
      <c r="P358" s="14" t="s">
        <v>64</v>
      </c>
      <c r="Q358" s="17">
        <f t="shared" si="23"/>
        <v>1.6678196810201506E-2</v>
      </c>
      <c r="R358" s="11"/>
      <c r="S358" s="18">
        <f t="shared" si="21"/>
        <v>525.91</v>
      </c>
      <c r="T358" s="18">
        <f t="shared" si="22"/>
        <v>534.83000000000004</v>
      </c>
    </row>
    <row r="359" spans="1:20" ht="28.8" x14ac:dyDescent="0.3">
      <c r="A359" s="9" t="s">
        <v>1505</v>
      </c>
      <c r="B359" s="10" t="s">
        <v>950</v>
      </c>
      <c r="C359" s="10" t="s">
        <v>533</v>
      </c>
      <c r="D359" s="10">
        <v>15</v>
      </c>
      <c r="E359" s="10" t="s">
        <v>86</v>
      </c>
      <c r="F359" s="11" t="s">
        <v>880</v>
      </c>
      <c r="G359" s="12" t="s">
        <v>1506</v>
      </c>
      <c r="H359" s="11" t="s">
        <v>1507</v>
      </c>
      <c r="I359" s="11" t="s">
        <v>953</v>
      </c>
      <c r="J359" s="10"/>
      <c r="K359" s="10" t="s">
        <v>61</v>
      </c>
      <c r="L359" s="13" t="s">
        <v>62</v>
      </c>
      <c r="M359" s="14"/>
      <c r="N359" s="15" t="s">
        <v>1508</v>
      </c>
      <c r="O359" s="16"/>
      <c r="P359" s="14" t="s">
        <v>64</v>
      </c>
      <c r="Q359" s="17">
        <f t="shared" si="23"/>
        <v>1.4693712592136391E-2</v>
      </c>
      <c r="R359" s="11"/>
      <c r="S359" s="18">
        <f t="shared" si="21"/>
        <v>1023.95</v>
      </c>
      <c r="T359" s="18">
        <f t="shared" si="22"/>
        <v>1039.22</v>
      </c>
    </row>
    <row r="360" spans="1:20" ht="28.8" x14ac:dyDescent="0.3">
      <c r="A360" s="9" t="s">
        <v>1509</v>
      </c>
      <c r="B360" s="10" t="s">
        <v>950</v>
      </c>
      <c r="C360" s="10" t="s">
        <v>533</v>
      </c>
      <c r="D360" s="10">
        <v>15</v>
      </c>
      <c r="E360" s="10" t="s">
        <v>92</v>
      </c>
      <c r="F360" s="11" t="s">
        <v>534</v>
      </c>
      <c r="G360" s="12" t="s">
        <v>1510</v>
      </c>
      <c r="H360" s="11" t="s">
        <v>1511</v>
      </c>
      <c r="I360" s="11" t="s">
        <v>953</v>
      </c>
      <c r="J360" s="10"/>
      <c r="K360" s="10" t="s">
        <v>61</v>
      </c>
      <c r="L360" s="13" t="s">
        <v>62</v>
      </c>
      <c r="M360" s="14"/>
      <c r="N360" s="15" t="s">
        <v>1398</v>
      </c>
      <c r="O360" s="16"/>
      <c r="P360" s="14" t="s">
        <v>64</v>
      </c>
      <c r="Q360" s="17">
        <f t="shared" si="23"/>
        <v>2.077464788732394E-2</v>
      </c>
      <c r="R360" s="11"/>
      <c r="S360" s="18">
        <f t="shared" si="21"/>
        <v>27.81</v>
      </c>
      <c r="T360" s="18">
        <f t="shared" si="22"/>
        <v>28.4</v>
      </c>
    </row>
    <row r="361" spans="1:20" ht="28.8" x14ac:dyDescent="0.3">
      <c r="A361" s="9" t="s">
        <v>1512</v>
      </c>
      <c r="B361" s="10" t="s">
        <v>950</v>
      </c>
      <c r="C361" s="10" t="s">
        <v>533</v>
      </c>
      <c r="D361" s="10">
        <v>15</v>
      </c>
      <c r="E361" s="10" t="s">
        <v>98</v>
      </c>
      <c r="F361" s="11" t="s">
        <v>564</v>
      </c>
      <c r="G361" s="12" t="s">
        <v>1513</v>
      </c>
      <c r="H361" s="11" t="s">
        <v>1514</v>
      </c>
      <c r="I361" s="11" t="s">
        <v>953</v>
      </c>
      <c r="J361" s="10"/>
      <c r="K361" s="10" t="s">
        <v>61</v>
      </c>
      <c r="L361" s="13" t="s">
        <v>62</v>
      </c>
      <c r="M361" s="14"/>
      <c r="N361" s="15" t="s">
        <v>1515</v>
      </c>
      <c r="O361" s="16"/>
      <c r="P361" s="14" t="s">
        <v>64</v>
      </c>
      <c r="Q361" s="17">
        <f t="shared" si="23"/>
        <v>5.2683569311820925E-3</v>
      </c>
      <c r="R361" s="11"/>
      <c r="S361" s="18">
        <f t="shared" si="21"/>
        <v>60.42</v>
      </c>
      <c r="T361" s="18">
        <f t="shared" si="22"/>
        <v>60.74</v>
      </c>
    </row>
    <row r="362" spans="1:20" ht="28.8" x14ac:dyDescent="0.3">
      <c r="A362" s="9" t="s">
        <v>1516</v>
      </c>
      <c r="B362" s="10" t="s">
        <v>950</v>
      </c>
      <c r="C362" s="10" t="s">
        <v>533</v>
      </c>
      <c r="D362" s="10">
        <v>15</v>
      </c>
      <c r="E362" s="10" t="s">
        <v>103</v>
      </c>
      <c r="F362" s="11" t="s">
        <v>564</v>
      </c>
      <c r="G362" s="12" t="s">
        <v>1517</v>
      </c>
      <c r="H362" s="11" t="s">
        <v>1518</v>
      </c>
      <c r="I362" s="11" t="s">
        <v>953</v>
      </c>
      <c r="J362" s="10"/>
      <c r="K362" s="10" t="s">
        <v>61</v>
      </c>
      <c r="L362" s="13" t="s">
        <v>62</v>
      </c>
      <c r="M362" s="14"/>
      <c r="N362" s="15" t="s">
        <v>1519</v>
      </c>
      <c r="O362" s="16"/>
      <c r="P362" s="14" t="s">
        <v>64</v>
      </c>
      <c r="Q362" s="17">
        <f t="shared" si="23"/>
        <v>6.453082295778882E-3</v>
      </c>
      <c r="R362" s="11"/>
      <c r="S362" s="18">
        <f t="shared" si="21"/>
        <v>130.87</v>
      </c>
      <c r="T362" s="18">
        <f t="shared" si="22"/>
        <v>131.72</v>
      </c>
    </row>
    <row r="363" spans="1:20" ht="28.8" x14ac:dyDescent="0.3">
      <c r="A363" s="9" t="s">
        <v>1520</v>
      </c>
      <c r="B363" s="10" t="s">
        <v>950</v>
      </c>
      <c r="C363" s="10" t="s">
        <v>533</v>
      </c>
      <c r="D363" s="10">
        <v>15</v>
      </c>
      <c r="E363" s="10" t="s">
        <v>109</v>
      </c>
      <c r="F363" s="11" t="s">
        <v>717</v>
      </c>
      <c r="G363" s="12" t="s">
        <v>1521</v>
      </c>
      <c r="H363" s="11" t="s">
        <v>1522</v>
      </c>
      <c r="I363" s="11" t="s">
        <v>953</v>
      </c>
      <c r="J363" s="10"/>
      <c r="K363" s="10" t="s">
        <v>61</v>
      </c>
      <c r="L363" s="13" t="s">
        <v>62</v>
      </c>
      <c r="M363" s="14" t="s">
        <v>694</v>
      </c>
      <c r="N363" s="15" t="s">
        <v>1523</v>
      </c>
      <c r="O363" s="16"/>
      <c r="P363" s="14" t="s">
        <v>64</v>
      </c>
      <c r="Q363" s="17">
        <f t="shared" si="23"/>
        <v>4.8402109835556789E-2</v>
      </c>
      <c r="R363" s="11"/>
      <c r="S363" s="18">
        <f t="shared" si="21"/>
        <v>30.67</v>
      </c>
      <c r="T363" s="18">
        <f t="shared" si="22"/>
        <v>32.229999999999997</v>
      </c>
    </row>
    <row r="364" spans="1:20" ht="28.8" x14ac:dyDescent="0.3">
      <c r="A364" s="9" t="s">
        <v>1524</v>
      </c>
      <c r="B364" s="10" t="s">
        <v>950</v>
      </c>
      <c r="C364" s="10" t="s">
        <v>533</v>
      </c>
      <c r="D364" s="10">
        <v>15</v>
      </c>
      <c r="E364" s="10" t="s">
        <v>115</v>
      </c>
      <c r="F364" s="11" t="s">
        <v>717</v>
      </c>
      <c r="G364" s="12" t="s">
        <v>1525</v>
      </c>
      <c r="H364" s="11" t="s">
        <v>1526</v>
      </c>
      <c r="I364" s="11" t="s">
        <v>953</v>
      </c>
      <c r="J364" s="10"/>
      <c r="K364" s="10" t="s">
        <v>61</v>
      </c>
      <c r="L364" s="13" t="s">
        <v>62</v>
      </c>
      <c r="M364" s="14"/>
      <c r="N364" s="15" t="s">
        <v>1527</v>
      </c>
      <c r="O364" s="16"/>
      <c r="P364" s="14" t="s">
        <v>64</v>
      </c>
      <c r="Q364" s="17">
        <f t="shared" si="23"/>
        <v>2.4714023443016521E-2</v>
      </c>
      <c r="R364" s="11"/>
      <c r="S364" s="18">
        <f t="shared" si="21"/>
        <v>69.06</v>
      </c>
      <c r="T364" s="18">
        <f t="shared" si="22"/>
        <v>70.81</v>
      </c>
    </row>
    <row r="365" spans="1:20" ht="28.8" x14ac:dyDescent="0.3">
      <c r="A365" s="9" t="s">
        <v>1528</v>
      </c>
      <c r="B365" s="10" t="s">
        <v>950</v>
      </c>
      <c r="C365" s="10" t="s">
        <v>533</v>
      </c>
      <c r="D365" s="10">
        <v>15</v>
      </c>
      <c r="E365" s="10" t="s">
        <v>120</v>
      </c>
      <c r="F365" s="11" t="s">
        <v>574</v>
      </c>
      <c r="G365" s="12" t="s">
        <v>1529</v>
      </c>
      <c r="H365" s="11" t="s">
        <v>1530</v>
      </c>
      <c r="I365" s="11" t="s">
        <v>953</v>
      </c>
      <c r="J365" s="10"/>
      <c r="K365" s="10" t="s">
        <v>61</v>
      </c>
      <c r="L365" s="13" t="s">
        <v>62</v>
      </c>
      <c r="M365" s="14"/>
      <c r="N365" s="15" t="s">
        <v>1531</v>
      </c>
      <c r="O365" s="16"/>
      <c r="P365" s="14" t="s">
        <v>64</v>
      </c>
      <c r="Q365" s="17">
        <f t="shared" si="23"/>
        <v>1.7124415464663831E-3</v>
      </c>
      <c r="R365" s="11"/>
      <c r="S365" s="18">
        <f t="shared" si="21"/>
        <v>151.57</v>
      </c>
      <c r="T365" s="18">
        <f t="shared" si="22"/>
        <v>151.82999999999998</v>
      </c>
    </row>
    <row r="366" spans="1:20" ht="28.8" x14ac:dyDescent="0.3">
      <c r="A366" s="9" t="s">
        <v>1532</v>
      </c>
      <c r="B366" s="10" t="s">
        <v>950</v>
      </c>
      <c r="C366" s="10" t="s">
        <v>533</v>
      </c>
      <c r="D366" s="10">
        <v>15</v>
      </c>
      <c r="E366" s="10" t="s">
        <v>126</v>
      </c>
      <c r="F366" s="11" t="s">
        <v>822</v>
      </c>
      <c r="G366" s="12" t="s">
        <v>1533</v>
      </c>
      <c r="H366" s="11" t="s">
        <v>1526</v>
      </c>
      <c r="I366" s="11" t="s">
        <v>953</v>
      </c>
      <c r="J366" s="10"/>
      <c r="K366" s="10" t="s">
        <v>61</v>
      </c>
      <c r="L366" s="13" t="s">
        <v>62</v>
      </c>
      <c r="M366" s="14"/>
      <c r="N366" s="15" t="s">
        <v>910</v>
      </c>
      <c r="O366" s="16"/>
      <c r="P366" s="14" t="s">
        <v>64</v>
      </c>
      <c r="Q366" s="17">
        <f t="shared" si="23"/>
        <v>5.4804530507856089E-3</v>
      </c>
      <c r="R366" s="11"/>
      <c r="S366" s="18">
        <f t="shared" si="21"/>
        <v>27.22</v>
      </c>
      <c r="T366" s="18">
        <f t="shared" si="22"/>
        <v>27.37</v>
      </c>
    </row>
    <row r="367" spans="1:20" ht="28.8" x14ac:dyDescent="0.3">
      <c r="A367" s="9" t="s">
        <v>1534</v>
      </c>
      <c r="B367" s="10" t="s">
        <v>950</v>
      </c>
      <c r="C367" s="10" t="s">
        <v>533</v>
      </c>
      <c r="D367" s="10">
        <v>15</v>
      </c>
      <c r="E367" s="10" t="s">
        <v>130</v>
      </c>
      <c r="F367" s="11" t="s">
        <v>617</v>
      </c>
      <c r="G367" s="12" t="s">
        <v>784</v>
      </c>
      <c r="H367" s="11" t="s">
        <v>1535</v>
      </c>
      <c r="I367" s="11" t="s">
        <v>953</v>
      </c>
      <c r="J367" s="10"/>
      <c r="K367" s="10" t="s">
        <v>61</v>
      </c>
      <c r="L367" s="13" t="s">
        <v>62</v>
      </c>
      <c r="M367" s="14"/>
      <c r="N367" s="15" t="s">
        <v>1536</v>
      </c>
      <c r="O367" s="16"/>
      <c r="P367" s="14" t="s">
        <v>64</v>
      </c>
      <c r="Q367" s="17">
        <f t="shared" si="23"/>
        <v>2.7283123672602543E-2</v>
      </c>
      <c r="R367" s="11"/>
      <c r="S367" s="18">
        <f t="shared" si="21"/>
        <v>59.54</v>
      </c>
      <c r="T367" s="18">
        <f t="shared" si="22"/>
        <v>61.21</v>
      </c>
    </row>
    <row r="368" spans="1:20" ht="28.8" x14ac:dyDescent="0.3">
      <c r="A368" s="9" t="s">
        <v>1537</v>
      </c>
      <c r="B368" s="10" t="s">
        <v>950</v>
      </c>
      <c r="C368" s="10" t="s">
        <v>533</v>
      </c>
      <c r="D368" s="10">
        <v>15</v>
      </c>
      <c r="E368" s="10" t="s">
        <v>135</v>
      </c>
      <c r="F368" s="11" t="s">
        <v>738</v>
      </c>
      <c r="G368" s="12" t="s">
        <v>1538</v>
      </c>
      <c r="H368" s="11" t="s">
        <v>1484</v>
      </c>
      <c r="I368" s="11" t="s">
        <v>953</v>
      </c>
      <c r="J368" s="10"/>
      <c r="K368" s="10" t="s">
        <v>61</v>
      </c>
      <c r="L368" s="13" t="s">
        <v>62</v>
      </c>
      <c r="M368" s="14"/>
      <c r="N368" s="15" t="s">
        <v>1539</v>
      </c>
      <c r="O368" s="16"/>
      <c r="P368" s="14" t="s">
        <v>64</v>
      </c>
      <c r="Q368" s="17">
        <f t="shared" si="23"/>
        <v>1.9940915805022911E-3</v>
      </c>
      <c r="R368" s="11"/>
      <c r="S368" s="18">
        <f t="shared" si="21"/>
        <v>135.13</v>
      </c>
      <c r="T368" s="18">
        <f t="shared" si="22"/>
        <v>135.4</v>
      </c>
    </row>
    <row r="369" spans="1:20" ht="28.8" x14ac:dyDescent="0.3">
      <c r="A369" s="9" t="s">
        <v>1540</v>
      </c>
      <c r="B369" s="10" t="s">
        <v>950</v>
      </c>
      <c r="C369" s="10" t="s">
        <v>533</v>
      </c>
      <c r="D369" s="10">
        <v>15</v>
      </c>
      <c r="E369" s="10" t="s">
        <v>146</v>
      </c>
      <c r="F369" s="11" t="s">
        <v>601</v>
      </c>
      <c r="G369" s="12" t="s">
        <v>1541</v>
      </c>
      <c r="H369" s="11" t="s">
        <v>1542</v>
      </c>
      <c r="I369" s="11" t="s">
        <v>953</v>
      </c>
      <c r="J369" s="10"/>
      <c r="K369" s="10" t="s">
        <v>61</v>
      </c>
      <c r="L369" s="13" t="s">
        <v>62</v>
      </c>
      <c r="M369" s="14"/>
      <c r="N369" s="15" t="s">
        <v>1543</v>
      </c>
      <c r="O369" s="16"/>
      <c r="P369" s="14" t="s">
        <v>64</v>
      </c>
      <c r="Q369" s="17">
        <f t="shared" ref="Q369:Q388" si="24">IF(OR(S369="",T369=""),"",(T369-S369)/T369)</f>
        <v>5.5244654900271336E-3</v>
      </c>
      <c r="R369" s="11"/>
      <c r="S369" s="18">
        <f t="shared" si="21"/>
        <v>138.61000000000001</v>
      </c>
      <c r="T369" s="18">
        <f t="shared" si="22"/>
        <v>139.38</v>
      </c>
    </row>
    <row r="370" spans="1:20" ht="28.8" x14ac:dyDescent="0.3">
      <c r="A370" s="9" t="s">
        <v>1544</v>
      </c>
      <c r="B370" s="10" t="s">
        <v>950</v>
      </c>
      <c r="C370" s="10" t="s">
        <v>533</v>
      </c>
      <c r="D370" s="10">
        <v>15</v>
      </c>
      <c r="E370" s="10" t="s">
        <v>150</v>
      </c>
      <c r="F370" s="11" t="s">
        <v>601</v>
      </c>
      <c r="G370" s="12" t="s">
        <v>1545</v>
      </c>
      <c r="H370" s="11" t="s">
        <v>1546</v>
      </c>
      <c r="I370" s="11" t="s">
        <v>953</v>
      </c>
      <c r="J370" s="10"/>
      <c r="K370" s="10" t="s">
        <v>61</v>
      </c>
      <c r="L370" s="13" t="s">
        <v>62</v>
      </c>
      <c r="M370" s="14"/>
      <c r="N370" s="15" t="s">
        <v>1547</v>
      </c>
      <c r="O370" s="16"/>
      <c r="P370" s="14" t="s">
        <v>64</v>
      </c>
      <c r="Q370" s="17">
        <f t="shared" si="24"/>
        <v>2.6470288797638072E-2</v>
      </c>
      <c r="R370" s="11"/>
      <c r="S370" s="18">
        <f t="shared" si="21"/>
        <v>286.87</v>
      </c>
      <c r="T370" s="18">
        <f t="shared" si="22"/>
        <v>294.67</v>
      </c>
    </row>
    <row r="371" spans="1:20" ht="28.8" x14ac:dyDescent="0.3">
      <c r="A371" s="9" t="s">
        <v>1548</v>
      </c>
      <c r="B371" s="10" t="s">
        <v>950</v>
      </c>
      <c r="C371" s="10" t="s">
        <v>533</v>
      </c>
      <c r="D371" s="10">
        <v>16</v>
      </c>
      <c r="E371" s="10" t="s">
        <v>56</v>
      </c>
      <c r="F371" s="11" t="s">
        <v>534</v>
      </c>
      <c r="G371" s="12" t="s">
        <v>1549</v>
      </c>
      <c r="H371" s="11" t="s">
        <v>1550</v>
      </c>
      <c r="I371" s="11" t="s">
        <v>953</v>
      </c>
      <c r="J371" s="10"/>
      <c r="K371" s="10" t="s">
        <v>61</v>
      </c>
      <c r="L371" s="13" t="s">
        <v>62</v>
      </c>
      <c r="M371" s="14"/>
      <c r="N371" s="15" t="s">
        <v>1551</v>
      </c>
      <c r="O371" s="16"/>
      <c r="P371" s="14" t="s">
        <v>64</v>
      </c>
      <c r="Q371" s="17">
        <f t="shared" si="24"/>
        <v>1.2895662368112477E-2</v>
      </c>
      <c r="R371" s="11"/>
      <c r="S371" s="18">
        <f t="shared" si="21"/>
        <v>25.26</v>
      </c>
      <c r="T371" s="18">
        <f t="shared" si="22"/>
        <v>25.59</v>
      </c>
    </row>
    <row r="372" spans="1:20" ht="28.8" x14ac:dyDescent="0.3">
      <c r="A372" s="9" t="s">
        <v>1552</v>
      </c>
      <c r="B372" s="10" t="s">
        <v>950</v>
      </c>
      <c r="C372" s="10" t="s">
        <v>533</v>
      </c>
      <c r="D372" s="10">
        <v>16</v>
      </c>
      <c r="E372" s="10" t="s">
        <v>66</v>
      </c>
      <c r="F372" s="11" t="s">
        <v>822</v>
      </c>
      <c r="G372" s="12" t="s">
        <v>1553</v>
      </c>
      <c r="H372" s="11" t="s">
        <v>1554</v>
      </c>
      <c r="I372" s="11" t="s">
        <v>953</v>
      </c>
      <c r="J372" s="10"/>
      <c r="K372" s="10" t="s">
        <v>61</v>
      </c>
      <c r="L372" s="13" t="s">
        <v>62</v>
      </c>
      <c r="M372" s="14"/>
      <c r="N372" s="15" t="s">
        <v>1555</v>
      </c>
      <c r="O372" s="16"/>
      <c r="P372" s="14" t="s">
        <v>64</v>
      </c>
      <c r="Q372" s="17">
        <f t="shared" si="24"/>
        <v>2.6862464183382106E-3</v>
      </c>
      <c r="R372" s="11"/>
      <c r="S372" s="18">
        <f t="shared" si="21"/>
        <v>55.69</v>
      </c>
      <c r="T372" s="18">
        <f t="shared" si="22"/>
        <v>55.84</v>
      </c>
    </row>
    <row r="373" spans="1:20" ht="28.8" x14ac:dyDescent="0.3">
      <c r="A373" s="9" t="s">
        <v>1556</v>
      </c>
      <c r="B373" s="10" t="s">
        <v>950</v>
      </c>
      <c r="C373" s="10" t="s">
        <v>533</v>
      </c>
      <c r="D373" s="10">
        <v>16</v>
      </c>
      <c r="E373" s="10" t="s">
        <v>70</v>
      </c>
      <c r="F373" s="11" t="s">
        <v>540</v>
      </c>
      <c r="G373" s="12" t="s">
        <v>1557</v>
      </c>
      <c r="H373" s="11" t="s">
        <v>1558</v>
      </c>
      <c r="I373" s="11" t="s">
        <v>953</v>
      </c>
      <c r="J373" s="10"/>
      <c r="K373" s="10" t="s">
        <v>61</v>
      </c>
      <c r="L373" s="13" t="s">
        <v>62</v>
      </c>
      <c r="M373" s="14" t="s">
        <v>694</v>
      </c>
      <c r="N373" s="15" t="s">
        <v>1559</v>
      </c>
      <c r="O373" s="16"/>
      <c r="P373" s="14" t="s">
        <v>64</v>
      </c>
      <c r="Q373" s="17">
        <f t="shared" si="24"/>
        <v>3.1997361042388338E-2</v>
      </c>
      <c r="R373" s="11"/>
      <c r="S373" s="18">
        <f t="shared" si="21"/>
        <v>117.38</v>
      </c>
      <c r="T373" s="18">
        <f t="shared" si="22"/>
        <v>121.26</v>
      </c>
    </row>
    <row r="374" spans="1:20" ht="28.8" x14ac:dyDescent="0.3">
      <c r="A374" s="9" t="s">
        <v>1560</v>
      </c>
      <c r="B374" s="10" t="s">
        <v>950</v>
      </c>
      <c r="C374" s="10" t="s">
        <v>533</v>
      </c>
      <c r="D374" s="10">
        <v>16</v>
      </c>
      <c r="E374" s="10" t="s">
        <v>75</v>
      </c>
      <c r="F374" s="11" t="s">
        <v>540</v>
      </c>
      <c r="G374" s="12" t="s">
        <v>1561</v>
      </c>
      <c r="H374" s="11" t="s">
        <v>1562</v>
      </c>
      <c r="I374" s="11" t="s">
        <v>953</v>
      </c>
      <c r="J374" s="10"/>
      <c r="K374" s="10" t="s">
        <v>61</v>
      </c>
      <c r="L374" s="13" t="s">
        <v>62</v>
      </c>
      <c r="M374" s="14" t="s">
        <v>694</v>
      </c>
      <c r="N374" s="15" t="s">
        <v>1563</v>
      </c>
      <c r="O374" s="16"/>
      <c r="P374" s="14" t="s">
        <v>64</v>
      </c>
      <c r="Q374" s="17">
        <f t="shared" si="24"/>
        <v>2.837492631165258E-2</v>
      </c>
      <c r="R374" s="11"/>
      <c r="S374" s="18">
        <f t="shared" si="21"/>
        <v>247.23</v>
      </c>
      <c r="T374" s="18">
        <f t="shared" si="22"/>
        <v>254.45</v>
      </c>
    </row>
    <row r="375" spans="1:20" ht="28.8" x14ac:dyDescent="0.3">
      <c r="A375" s="9" t="s">
        <v>1564</v>
      </c>
      <c r="B375" s="10" t="s">
        <v>950</v>
      </c>
      <c r="C375" s="10" t="s">
        <v>533</v>
      </c>
      <c r="D375" s="10">
        <v>16</v>
      </c>
      <c r="E375" s="10" t="s">
        <v>80</v>
      </c>
      <c r="F375" s="11" t="s">
        <v>1565</v>
      </c>
      <c r="G375" s="12" t="s">
        <v>1566</v>
      </c>
      <c r="H375" s="11" t="s">
        <v>1567</v>
      </c>
      <c r="I375" s="11" t="s">
        <v>953</v>
      </c>
      <c r="J375" s="10"/>
      <c r="K375" s="10" t="s">
        <v>61</v>
      </c>
      <c r="L375" s="13" t="s">
        <v>62</v>
      </c>
      <c r="M375" s="14"/>
      <c r="N375" s="15" t="s">
        <v>1568</v>
      </c>
      <c r="O375" s="16"/>
      <c r="P375" s="14" t="s">
        <v>64</v>
      </c>
      <c r="Q375" s="17">
        <f t="shared" si="24"/>
        <v>3.8670489700444325E-3</v>
      </c>
      <c r="R375" s="11"/>
      <c r="S375" s="18">
        <f t="shared" si="21"/>
        <v>528.07000000000005</v>
      </c>
      <c r="T375" s="18">
        <f t="shared" si="22"/>
        <v>530.12</v>
      </c>
    </row>
    <row r="376" spans="1:20" ht="28.8" x14ac:dyDescent="0.3">
      <c r="A376" s="9" t="s">
        <v>1569</v>
      </c>
      <c r="B376" s="10" t="s">
        <v>950</v>
      </c>
      <c r="C376" s="10" t="s">
        <v>533</v>
      </c>
      <c r="D376" s="10">
        <v>16</v>
      </c>
      <c r="E376" s="10" t="s">
        <v>86</v>
      </c>
      <c r="F376" s="11" t="s">
        <v>1570</v>
      </c>
      <c r="G376" s="12" t="s">
        <v>1571</v>
      </c>
      <c r="H376" s="11" t="s">
        <v>1572</v>
      </c>
      <c r="I376" s="11" t="s">
        <v>953</v>
      </c>
      <c r="J376" s="10"/>
      <c r="K376" s="10" t="s">
        <v>61</v>
      </c>
      <c r="L376" s="13" t="s">
        <v>62</v>
      </c>
      <c r="M376" s="14"/>
      <c r="N376" s="15" t="s">
        <v>1573</v>
      </c>
      <c r="O376" s="16"/>
      <c r="P376" s="14" t="s">
        <v>64</v>
      </c>
      <c r="Q376" s="17">
        <f t="shared" si="24"/>
        <v>3.981659057057497E-3</v>
      </c>
      <c r="R376" s="11"/>
      <c r="S376" s="18">
        <f t="shared" si="21"/>
        <v>1023.12</v>
      </c>
      <c r="T376" s="18">
        <f t="shared" si="22"/>
        <v>1027.21</v>
      </c>
    </row>
    <row r="377" spans="1:20" ht="28.8" x14ac:dyDescent="0.3">
      <c r="A377" s="9" t="s">
        <v>1574</v>
      </c>
      <c r="B377" s="10" t="s">
        <v>950</v>
      </c>
      <c r="C377" s="10" t="s">
        <v>533</v>
      </c>
      <c r="D377" s="10">
        <v>16</v>
      </c>
      <c r="E377" s="10" t="s">
        <v>92</v>
      </c>
      <c r="F377" s="11" t="s">
        <v>534</v>
      </c>
      <c r="G377" s="12" t="s">
        <v>1575</v>
      </c>
      <c r="H377" s="11" t="s">
        <v>1576</v>
      </c>
      <c r="I377" s="11" t="s">
        <v>953</v>
      </c>
      <c r="J377" s="10"/>
      <c r="K377" s="10" t="s">
        <v>61</v>
      </c>
      <c r="L377" s="13" t="s">
        <v>62</v>
      </c>
      <c r="M377" s="14" t="s">
        <v>583</v>
      </c>
      <c r="N377" s="15" t="s">
        <v>1766</v>
      </c>
      <c r="O377" s="16"/>
      <c r="P377" s="14" t="s">
        <v>64</v>
      </c>
      <c r="Q377" s="17">
        <f t="shared" si="24"/>
        <v>2.0658263305322125E-2</v>
      </c>
      <c r="R377" s="11"/>
      <c r="S377" s="18">
        <f t="shared" si="21"/>
        <v>27.97</v>
      </c>
      <c r="T377" s="18">
        <f t="shared" si="22"/>
        <v>28.56</v>
      </c>
    </row>
    <row r="378" spans="1:20" ht="28.8" x14ac:dyDescent="0.3">
      <c r="A378" s="9" t="s">
        <v>1577</v>
      </c>
      <c r="B378" s="10" t="s">
        <v>950</v>
      </c>
      <c r="C378" s="10" t="s">
        <v>533</v>
      </c>
      <c r="D378" s="10">
        <v>16</v>
      </c>
      <c r="E378" s="10" t="s">
        <v>98</v>
      </c>
      <c r="F378" s="11" t="s">
        <v>534</v>
      </c>
      <c r="G378" s="12" t="s">
        <v>1578</v>
      </c>
      <c r="H378" s="11" t="s">
        <v>1579</v>
      </c>
      <c r="I378" s="11" t="s">
        <v>953</v>
      </c>
      <c r="J378" s="10"/>
      <c r="K378" s="10" t="s">
        <v>61</v>
      </c>
      <c r="L378" s="13" t="s">
        <v>62</v>
      </c>
      <c r="M378" s="14"/>
      <c r="N378" s="15" t="s">
        <v>1580</v>
      </c>
      <c r="O378" s="16"/>
      <c r="P378" s="14" t="s">
        <v>64</v>
      </c>
      <c r="Q378" s="17">
        <f t="shared" si="24"/>
        <v>9.8651759289711065E-4</v>
      </c>
      <c r="R378" s="11"/>
      <c r="S378" s="18">
        <f t="shared" si="21"/>
        <v>60.76</v>
      </c>
      <c r="T378" s="18">
        <f t="shared" si="22"/>
        <v>60.82</v>
      </c>
    </row>
    <row r="379" spans="1:20" ht="28.8" x14ac:dyDescent="0.3">
      <c r="A379" s="9" t="s">
        <v>1581</v>
      </c>
      <c r="B379" s="10" t="s">
        <v>950</v>
      </c>
      <c r="C379" s="10" t="s">
        <v>533</v>
      </c>
      <c r="D379" s="10">
        <v>16</v>
      </c>
      <c r="E379" s="10" t="s">
        <v>103</v>
      </c>
      <c r="F379" s="11" t="s">
        <v>564</v>
      </c>
      <c r="G379" s="12" t="s">
        <v>944</v>
      </c>
      <c r="H379" s="11" t="s">
        <v>1582</v>
      </c>
      <c r="I379" s="11" t="s">
        <v>953</v>
      </c>
      <c r="J379" s="10"/>
      <c r="K379" s="10" t="s">
        <v>61</v>
      </c>
      <c r="L379" s="13" t="s">
        <v>62</v>
      </c>
      <c r="M379" s="14"/>
      <c r="N379" s="15" t="s">
        <v>1583</v>
      </c>
      <c r="O379" s="16"/>
      <c r="P379" s="14" t="s">
        <v>64</v>
      </c>
      <c r="Q379" s="17">
        <f t="shared" si="24"/>
        <v>2.8720429294837539E-3</v>
      </c>
      <c r="R379" s="11"/>
      <c r="S379" s="18">
        <f t="shared" si="21"/>
        <v>131.93</v>
      </c>
      <c r="T379" s="18">
        <f t="shared" si="22"/>
        <v>132.31</v>
      </c>
    </row>
    <row r="380" spans="1:20" ht="28.8" x14ac:dyDescent="0.3">
      <c r="A380" s="9" t="s">
        <v>1584</v>
      </c>
      <c r="B380" s="10" t="s">
        <v>950</v>
      </c>
      <c r="C380" s="10" t="s">
        <v>533</v>
      </c>
      <c r="D380" s="10">
        <v>16</v>
      </c>
      <c r="E380" s="10" t="s">
        <v>109</v>
      </c>
      <c r="F380" s="11" t="s">
        <v>717</v>
      </c>
      <c r="G380" s="12" t="s">
        <v>1056</v>
      </c>
      <c r="H380" s="11" t="s">
        <v>1585</v>
      </c>
      <c r="I380" s="11" t="s">
        <v>953</v>
      </c>
      <c r="J380" s="10"/>
      <c r="K380" s="10" t="s">
        <v>61</v>
      </c>
      <c r="L380" s="13" t="s">
        <v>62</v>
      </c>
      <c r="M380" s="14" t="s">
        <v>579</v>
      </c>
      <c r="N380" s="15" t="s">
        <v>1523</v>
      </c>
      <c r="O380" s="16"/>
      <c r="P380" s="14" t="s">
        <v>64</v>
      </c>
      <c r="Q380" s="17">
        <f t="shared" si="24"/>
        <v>5.7399937946012967E-2</v>
      </c>
      <c r="R380" s="11"/>
      <c r="S380" s="18">
        <f t="shared" si="21"/>
        <v>30.38</v>
      </c>
      <c r="T380" s="18">
        <f t="shared" si="22"/>
        <v>32.229999999999997</v>
      </c>
    </row>
    <row r="381" spans="1:20" ht="28.8" x14ac:dyDescent="0.3">
      <c r="A381" s="9" t="s">
        <v>1586</v>
      </c>
      <c r="B381" s="10" t="s">
        <v>950</v>
      </c>
      <c r="C381" s="10" t="s">
        <v>533</v>
      </c>
      <c r="D381" s="10">
        <v>16</v>
      </c>
      <c r="E381" s="10" t="s">
        <v>115</v>
      </c>
      <c r="F381" s="11" t="s">
        <v>717</v>
      </c>
      <c r="G381" s="12" t="s">
        <v>1587</v>
      </c>
      <c r="H381" s="11" t="s">
        <v>1588</v>
      </c>
      <c r="I381" s="11" t="s">
        <v>953</v>
      </c>
      <c r="J381" s="10"/>
      <c r="K381" s="10" t="s">
        <v>61</v>
      </c>
      <c r="L381" s="13" t="s">
        <v>62</v>
      </c>
      <c r="M381" s="14" t="s">
        <v>579</v>
      </c>
      <c r="N381" s="15" t="s">
        <v>1589</v>
      </c>
      <c r="O381" s="16"/>
      <c r="P381" s="14" t="s">
        <v>64</v>
      </c>
      <c r="Q381" s="17">
        <f t="shared" si="24"/>
        <v>3.3009431266076049E-2</v>
      </c>
      <c r="R381" s="11"/>
      <c r="S381" s="18">
        <f t="shared" si="21"/>
        <v>67.67</v>
      </c>
      <c r="T381" s="18">
        <f t="shared" si="22"/>
        <v>69.98</v>
      </c>
    </row>
    <row r="382" spans="1:20" ht="28.8" x14ac:dyDescent="0.3">
      <c r="A382" s="9" t="s">
        <v>1590</v>
      </c>
      <c r="B382" s="10" t="s">
        <v>950</v>
      </c>
      <c r="C382" s="10" t="s">
        <v>533</v>
      </c>
      <c r="D382" s="10">
        <v>16</v>
      </c>
      <c r="E382" s="10" t="s">
        <v>120</v>
      </c>
      <c r="F382" s="11" t="s">
        <v>579</v>
      </c>
      <c r="G382" s="12" t="s">
        <v>1591</v>
      </c>
      <c r="H382" s="11" t="s">
        <v>1503</v>
      </c>
      <c r="I382" s="11" t="s">
        <v>953</v>
      </c>
      <c r="J382" s="10"/>
      <c r="K382" s="10" t="s">
        <v>61</v>
      </c>
      <c r="L382" s="13" t="s">
        <v>62</v>
      </c>
      <c r="M382" s="14"/>
      <c r="N382" s="15" t="s">
        <v>1592</v>
      </c>
      <c r="O382" s="16"/>
      <c r="P382" s="14" t="s">
        <v>64</v>
      </c>
      <c r="Q382" s="17">
        <f t="shared" si="24"/>
        <v>3.2549488508036447E-3</v>
      </c>
      <c r="R382" s="11"/>
      <c r="S382" s="18">
        <f t="shared" si="21"/>
        <v>150.05000000000001</v>
      </c>
      <c r="T382" s="18">
        <f t="shared" si="22"/>
        <v>150.54</v>
      </c>
    </row>
    <row r="383" spans="1:20" ht="28.8" x14ac:dyDescent="0.3">
      <c r="A383" s="9" t="s">
        <v>1593</v>
      </c>
      <c r="B383" s="10" t="s">
        <v>950</v>
      </c>
      <c r="C383" s="10" t="s">
        <v>533</v>
      </c>
      <c r="D383" s="10">
        <v>16</v>
      </c>
      <c r="E383" s="10" t="s">
        <v>126</v>
      </c>
      <c r="F383" s="11" t="s">
        <v>822</v>
      </c>
      <c r="G383" s="12" t="s">
        <v>1594</v>
      </c>
      <c r="H383" s="11" t="s">
        <v>1595</v>
      </c>
      <c r="I383" s="11" t="s">
        <v>953</v>
      </c>
      <c r="J383" s="10"/>
      <c r="K383" s="10" t="s">
        <v>61</v>
      </c>
      <c r="L383" s="13" t="s">
        <v>62</v>
      </c>
      <c r="M383" s="14"/>
      <c r="N383" s="15" t="s">
        <v>1596</v>
      </c>
      <c r="O383" s="16"/>
      <c r="P383" s="14" t="s">
        <v>64</v>
      </c>
      <c r="Q383" s="17">
        <f t="shared" si="24"/>
        <v>1.1515601783061005E-2</v>
      </c>
      <c r="R383" s="11"/>
      <c r="S383" s="18">
        <f t="shared" si="21"/>
        <v>26.61</v>
      </c>
      <c r="T383" s="18">
        <f t="shared" si="22"/>
        <v>26.92</v>
      </c>
    </row>
    <row r="384" spans="1:20" ht="28.8" x14ac:dyDescent="0.3">
      <c r="A384" s="9" t="s">
        <v>1597</v>
      </c>
      <c r="B384" s="10" t="s">
        <v>950</v>
      </c>
      <c r="C384" s="10" t="s">
        <v>533</v>
      </c>
      <c r="D384" s="10">
        <v>16</v>
      </c>
      <c r="E384" s="10" t="s">
        <v>130</v>
      </c>
      <c r="F384" s="11" t="s">
        <v>617</v>
      </c>
      <c r="G384" s="12" t="s">
        <v>1598</v>
      </c>
      <c r="H384" s="11" t="s">
        <v>1599</v>
      </c>
      <c r="I384" s="11" t="s">
        <v>953</v>
      </c>
      <c r="J384" s="10"/>
      <c r="K384" s="10" t="s">
        <v>61</v>
      </c>
      <c r="L384" s="13" t="s">
        <v>62</v>
      </c>
      <c r="M384" s="14" t="s">
        <v>583</v>
      </c>
      <c r="N384" s="15" t="s">
        <v>1757</v>
      </c>
      <c r="O384" s="16"/>
      <c r="P384" s="14" t="s">
        <v>64</v>
      </c>
      <c r="Q384" s="17">
        <f t="shared" si="24"/>
        <v>2.133688948158028E-2</v>
      </c>
      <c r="R384" s="11"/>
      <c r="S384" s="18">
        <f t="shared" si="21"/>
        <v>58.71</v>
      </c>
      <c r="T384" s="18">
        <f t="shared" si="22"/>
        <v>59.99</v>
      </c>
    </row>
    <row r="385" spans="1:20" ht="28.8" x14ac:dyDescent="0.3">
      <c r="A385" s="9" t="s">
        <v>1600</v>
      </c>
      <c r="B385" s="10" t="s">
        <v>950</v>
      </c>
      <c r="C385" s="10" t="s">
        <v>533</v>
      </c>
      <c r="D385" s="10">
        <v>16</v>
      </c>
      <c r="E385" s="10" t="s">
        <v>135</v>
      </c>
      <c r="F385" s="11" t="s">
        <v>617</v>
      </c>
      <c r="G385" s="12" t="s">
        <v>1601</v>
      </c>
      <c r="H385" s="11" t="s">
        <v>1602</v>
      </c>
      <c r="I385" s="11" t="s">
        <v>953</v>
      </c>
      <c r="J385" s="10"/>
      <c r="K385" s="10" t="s">
        <v>61</v>
      </c>
      <c r="L385" s="13" t="s">
        <v>62</v>
      </c>
      <c r="M385" s="14"/>
      <c r="N385" s="15" t="s">
        <v>1013</v>
      </c>
      <c r="O385" s="16"/>
      <c r="P385" s="14" t="s">
        <v>64</v>
      </c>
      <c r="Q385" s="17">
        <f t="shared" si="24"/>
        <v>1.7447401216919546E-2</v>
      </c>
      <c r="R385" s="11"/>
      <c r="S385" s="18">
        <f t="shared" si="21"/>
        <v>134.03</v>
      </c>
      <c r="T385" s="18">
        <f t="shared" si="22"/>
        <v>136.41</v>
      </c>
    </row>
    <row r="386" spans="1:20" ht="28.8" x14ac:dyDescent="0.3">
      <c r="A386" s="9" t="s">
        <v>1603</v>
      </c>
      <c r="B386" s="10" t="s">
        <v>950</v>
      </c>
      <c r="C386" s="10" t="s">
        <v>533</v>
      </c>
      <c r="D386" s="10">
        <v>16</v>
      </c>
      <c r="E386" s="10" t="s">
        <v>146</v>
      </c>
      <c r="F386" s="11" t="s">
        <v>694</v>
      </c>
      <c r="G386" s="12" t="s">
        <v>1604</v>
      </c>
      <c r="H386" s="11" t="s">
        <v>973</v>
      </c>
      <c r="I386" s="11" t="s">
        <v>953</v>
      </c>
      <c r="J386" s="10"/>
      <c r="K386" s="10" t="s">
        <v>61</v>
      </c>
      <c r="L386" s="13" t="s">
        <v>62</v>
      </c>
      <c r="M386" s="14"/>
      <c r="N386" s="15" t="s">
        <v>1605</v>
      </c>
      <c r="O386" s="16"/>
      <c r="P386" s="14" t="s">
        <v>64</v>
      </c>
      <c r="Q386" s="17">
        <f t="shared" si="24"/>
        <v>1.0616784630940335E-2</v>
      </c>
      <c r="R386" s="11"/>
      <c r="S386" s="18">
        <f t="shared" ref="S386:S421" si="25">IF(G386="","",IF(ISNUMBER(SEARCH(":",G386)),VALUE(LEFT(G386,SEARCH(":",G386)-1))*60+VALUE(MID(G386,SEARCH(":",G386)+1,99)),VALUE(G386)))</f>
        <v>136.99</v>
      </c>
      <c r="T386" s="18">
        <f t="shared" ref="T386:T421" si="26">IF(N386="","",IF(ISNUMBER(SEARCH(":",N386)),VALUE(LEFT(N386,SEARCH(":",N386)-1))*60+VALUE(MID(N386,SEARCH(":",N386)+1,99)),VALUE(N386)))</f>
        <v>138.46</v>
      </c>
    </row>
    <row r="387" spans="1:20" ht="28.8" x14ac:dyDescent="0.3">
      <c r="A387" s="9" t="s">
        <v>1606</v>
      </c>
      <c r="B387" s="10" t="s">
        <v>950</v>
      </c>
      <c r="C387" s="10" t="s">
        <v>533</v>
      </c>
      <c r="D387" s="10">
        <v>16</v>
      </c>
      <c r="E387" s="10" t="s">
        <v>150</v>
      </c>
      <c r="F387" s="11" t="s">
        <v>601</v>
      </c>
      <c r="G387" s="12" t="s">
        <v>1607</v>
      </c>
      <c r="H387" s="11" t="s">
        <v>1608</v>
      </c>
      <c r="I387" s="11" t="s">
        <v>953</v>
      </c>
      <c r="J387" s="10"/>
      <c r="K387" s="10" t="s">
        <v>61</v>
      </c>
      <c r="L387" s="13" t="s">
        <v>62</v>
      </c>
      <c r="M387" s="14"/>
      <c r="N387" s="15" t="s">
        <v>1609</v>
      </c>
      <c r="O387" s="16"/>
      <c r="P387" s="14" t="s">
        <v>64</v>
      </c>
      <c r="Q387" s="17">
        <f t="shared" si="24"/>
        <v>1.9615265494339257E-2</v>
      </c>
      <c r="R387" s="11"/>
      <c r="S387" s="18">
        <f t="shared" si="25"/>
        <v>284.89</v>
      </c>
      <c r="T387" s="18">
        <f t="shared" si="26"/>
        <v>290.59000000000003</v>
      </c>
    </row>
    <row r="388" spans="1:20" ht="28.8" x14ac:dyDescent="0.3">
      <c r="A388" s="9" t="s">
        <v>1610</v>
      </c>
      <c r="B388" s="10" t="s">
        <v>950</v>
      </c>
      <c r="C388" s="10" t="s">
        <v>533</v>
      </c>
      <c r="D388" s="10">
        <v>17</v>
      </c>
      <c r="E388" s="10" t="s">
        <v>56</v>
      </c>
      <c r="F388" s="11" t="s">
        <v>534</v>
      </c>
      <c r="G388" s="12" t="s">
        <v>1611</v>
      </c>
      <c r="H388" s="11" t="s">
        <v>1612</v>
      </c>
      <c r="I388" s="11" t="s">
        <v>953</v>
      </c>
      <c r="J388" s="10"/>
      <c r="K388" s="10" t="s">
        <v>61</v>
      </c>
      <c r="L388" s="13" t="s">
        <v>62</v>
      </c>
      <c r="M388" s="14"/>
      <c r="N388" s="15" t="s">
        <v>1613</v>
      </c>
      <c r="O388" s="16"/>
      <c r="P388" s="14" t="s">
        <v>64</v>
      </c>
      <c r="Q388" s="17">
        <f t="shared" si="24"/>
        <v>1.6122689736531661E-2</v>
      </c>
      <c r="R388" s="11"/>
      <c r="S388" s="18">
        <f t="shared" si="25"/>
        <v>25.02</v>
      </c>
      <c r="T388" s="18">
        <f t="shared" si="26"/>
        <v>25.43</v>
      </c>
    </row>
    <row r="389" spans="1:20" ht="28.8" x14ac:dyDescent="0.3">
      <c r="A389" s="9" t="s">
        <v>1614</v>
      </c>
      <c r="B389" s="10" t="s">
        <v>950</v>
      </c>
      <c r="C389" s="10" t="s">
        <v>533</v>
      </c>
      <c r="D389" s="10">
        <v>17</v>
      </c>
      <c r="E389" s="10" t="s">
        <v>66</v>
      </c>
      <c r="F389" s="11" t="s">
        <v>1615</v>
      </c>
      <c r="G389" s="12" t="s">
        <v>1616</v>
      </c>
      <c r="H389" s="11" t="s">
        <v>1617</v>
      </c>
      <c r="I389" s="11" t="s">
        <v>953</v>
      </c>
      <c r="J389" s="10"/>
      <c r="K389" s="10" t="s">
        <v>62</v>
      </c>
      <c r="L389" s="13" t="s">
        <v>756</v>
      </c>
      <c r="M389" s="22"/>
      <c r="N389" s="23" t="s">
        <v>1616</v>
      </c>
      <c r="O389" s="24"/>
      <c r="P389" s="22" t="s">
        <v>757</v>
      </c>
      <c r="Q389" s="17">
        <v>0</v>
      </c>
      <c r="R389" s="11" t="s">
        <v>758</v>
      </c>
      <c r="S389" s="18">
        <f t="shared" si="25"/>
        <v>55.43</v>
      </c>
      <c r="T389" s="18">
        <f t="shared" si="26"/>
        <v>55.43</v>
      </c>
    </row>
    <row r="390" spans="1:20" ht="28.8" x14ac:dyDescent="0.3">
      <c r="A390" s="9" t="s">
        <v>1618</v>
      </c>
      <c r="B390" s="10" t="s">
        <v>950</v>
      </c>
      <c r="C390" s="10" t="s">
        <v>533</v>
      </c>
      <c r="D390" s="10">
        <v>17</v>
      </c>
      <c r="E390" s="10" t="s">
        <v>70</v>
      </c>
      <c r="F390" s="11" t="s">
        <v>540</v>
      </c>
      <c r="G390" s="12" t="s">
        <v>1619</v>
      </c>
      <c r="H390" s="11" t="s">
        <v>1620</v>
      </c>
      <c r="I390" s="11" t="s">
        <v>953</v>
      </c>
      <c r="J390" s="10"/>
      <c r="K390" s="10" t="s">
        <v>61</v>
      </c>
      <c r="L390" s="13" t="s">
        <v>62</v>
      </c>
      <c r="M390" s="14" t="s">
        <v>612</v>
      </c>
      <c r="N390" s="15" t="s">
        <v>1621</v>
      </c>
      <c r="O390" s="16"/>
      <c r="P390" s="14" t="s">
        <v>64</v>
      </c>
      <c r="Q390" s="17">
        <f t="shared" ref="Q390:Q421" si="27">IF(OR(S390="",T390=""),"",(T390-S390)/T390)</f>
        <v>3.6324786324786452E-2</v>
      </c>
      <c r="R390" s="11"/>
      <c r="S390" s="18">
        <f t="shared" si="25"/>
        <v>117.25999999999999</v>
      </c>
      <c r="T390" s="18">
        <f t="shared" si="26"/>
        <v>121.68</v>
      </c>
    </row>
    <row r="391" spans="1:20" ht="28.8" x14ac:dyDescent="0.3">
      <c r="A391" s="9" t="s">
        <v>1622</v>
      </c>
      <c r="B391" s="10" t="s">
        <v>950</v>
      </c>
      <c r="C391" s="10" t="s">
        <v>533</v>
      </c>
      <c r="D391" s="10">
        <v>17</v>
      </c>
      <c r="E391" s="10" t="s">
        <v>75</v>
      </c>
      <c r="F391" s="11" t="s">
        <v>540</v>
      </c>
      <c r="G391" s="12" t="s">
        <v>1623</v>
      </c>
      <c r="H391" s="11" t="s">
        <v>1624</v>
      </c>
      <c r="I391" s="11" t="s">
        <v>953</v>
      </c>
      <c r="J391" s="10"/>
      <c r="K391" s="10" t="s">
        <v>61</v>
      </c>
      <c r="L391" s="13" t="s">
        <v>62</v>
      </c>
      <c r="M391" s="14" t="s">
        <v>837</v>
      </c>
      <c r="N391" s="15" t="s">
        <v>1625</v>
      </c>
      <c r="O391" s="16"/>
      <c r="P391" s="14" t="s">
        <v>64</v>
      </c>
      <c r="Q391" s="17">
        <f t="shared" si="27"/>
        <v>4.2333689078619736E-2</v>
      </c>
      <c r="R391" s="11"/>
      <c r="S391" s="18">
        <f t="shared" si="25"/>
        <v>242.28</v>
      </c>
      <c r="T391" s="18">
        <f t="shared" si="26"/>
        <v>252.99</v>
      </c>
    </row>
    <row r="392" spans="1:20" ht="28.8" x14ac:dyDescent="0.3">
      <c r="A392" s="9" t="s">
        <v>1626</v>
      </c>
      <c r="B392" s="10" t="s">
        <v>950</v>
      </c>
      <c r="C392" s="10" t="s">
        <v>533</v>
      </c>
      <c r="D392" s="10">
        <v>17</v>
      </c>
      <c r="E392" s="10" t="s">
        <v>80</v>
      </c>
      <c r="F392" s="11" t="s">
        <v>1627</v>
      </c>
      <c r="G392" s="12" t="s">
        <v>1628</v>
      </c>
      <c r="H392" s="11" t="s">
        <v>1629</v>
      </c>
      <c r="I392" s="11" t="s">
        <v>953</v>
      </c>
      <c r="J392" s="10"/>
      <c r="K392" s="10" t="s">
        <v>61</v>
      </c>
      <c r="L392" s="13" t="s">
        <v>62</v>
      </c>
      <c r="M392" s="14"/>
      <c r="N392" s="15" t="s">
        <v>1630</v>
      </c>
      <c r="O392" s="16"/>
      <c r="P392" s="14" t="s">
        <v>64</v>
      </c>
      <c r="Q392" s="17">
        <f t="shared" si="27"/>
        <v>5.8104092052121362E-3</v>
      </c>
      <c r="R392" s="11"/>
      <c r="S392" s="18">
        <f t="shared" si="25"/>
        <v>521.87</v>
      </c>
      <c r="T392" s="18">
        <f t="shared" si="26"/>
        <v>524.91999999999996</v>
      </c>
    </row>
    <row r="393" spans="1:20" ht="28.8" x14ac:dyDescent="0.3">
      <c r="A393" s="9" t="s">
        <v>1631</v>
      </c>
      <c r="B393" s="10" t="s">
        <v>950</v>
      </c>
      <c r="C393" s="10" t="s">
        <v>533</v>
      </c>
      <c r="D393" s="10">
        <v>17</v>
      </c>
      <c r="E393" s="10" t="s">
        <v>86</v>
      </c>
      <c r="F393" s="11" t="s">
        <v>837</v>
      </c>
      <c r="G393" s="12" t="s">
        <v>1632</v>
      </c>
      <c r="H393" s="11" t="s">
        <v>1633</v>
      </c>
      <c r="I393" s="11" t="s">
        <v>953</v>
      </c>
      <c r="J393" s="10"/>
      <c r="K393" s="10" t="s">
        <v>61</v>
      </c>
      <c r="L393" s="13" t="s">
        <v>62</v>
      </c>
      <c r="M393" s="14"/>
      <c r="N393" s="15" t="s">
        <v>1634</v>
      </c>
      <c r="O393" s="16"/>
      <c r="P393" s="14" t="s">
        <v>64</v>
      </c>
      <c r="Q393" s="17">
        <f t="shared" si="27"/>
        <v>4.8333531016486637E-3</v>
      </c>
      <c r="R393" s="11"/>
      <c r="S393" s="18">
        <f t="shared" si="25"/>
        <v>1006.83</v>
      </c>
      <c r="T393" s="18">
        <f t="shared" si="26"/>
        <v>1011.72</v>
      </c>
    </row>
    <row r="394" spans="1:20" ht="28.8" x14ac:dyDescent="0.3">
      <c r="A394" s="9" t="s">
        <v>1635</v>
      </c>
      <c r="B394" s="10" t="s">
        <v>950</v>
      </c>
      <c r="C394" s="10" t="s">
        <v>533</v>
      </c>
      <c r="D394" s="10">
        <v>17</v>
      </c>
      <c r="E394" s="10" t="s">
        <v>92</v>
      </c>
      <c r="F394" s="11" t="s">
        <v>583</v>
      </c>
      <c r="G394" s="12" t="s">
        <v>1636</v>
      </c>
      <c r="H394" s="11" t="s">
        <v>1637</v>
      </c>
      <c r="I394" s="11" t="s">
        <v>953</v>
      </c>
      <c r="J394" s="10"/>
      <c r="K394" s="10" t="s">
        <v>61</v>
      </c>
      <c r="L394" s="13" t="s">
        <v>62</v>
      </c>
      <c r="M394" s="14"/>
      <c r="N394" s="15" t="s">
        <v>1638</v>
      </c>
      <c r="O394" s="16"/>
      <c r="P394" s="14" t="s">
        <v>64</v>
      </c>
      <c r="Q394" s="17">
        <f t="shared" si="27"/>
        <v>1.8881118881118975E-2</v>
      </c>
      <c r="R394" s="11"/>
      <c r="S394" s="18">
        <f t="shared" si="25"/>
        <v>28.06</v>
      </c>
      <c r="T394" s="18">
        <f t="shared" si="26"/>
        <v>28.6</v>
      </c>
    </row>
    <row r="395" spans="1:20" ht="28.8" x14ac:dyDescent="0.3">
      <c r="A395" s="9" t="s">
        <v>1639</v>
      </c>
      <c r="B395" s="10" t="s">
        <v>950</v>
      </c>
      <c r="C395" s="10" t="s">
        <v>533</v>
      </c>
      <c r="D395" s="10">
        <v>17</v>
      </c>
      <c r="E395" s="10" t="s">
        <v>98</v>
      </c>
      <c r="F395" s="11" t="s">
        <v>583</v>
      </c>
      <c r="G395" s="12" t="s">
        <v>1640</v>
      </c>
      <c r="H395" s="11" t="s">
        <v>1389</v>
      </c>
      <c r="I395" s="11" t="s">
        <v>953</v>
      </c>
      <c r="J395" s="10"/>
      <c r="K395" s="10" t="s">
        <v>61</v>
      </c>
      <c r="L395" s="13" t="s">
        <v>62</v>
      </c>
      <c r="M395" s="14"/>
      <c r="N395" s="15" t="s">
        <v>1536</v>
      </c>
      <c r="O395" s="16"/>
      <c r="P395" s="14" t="s">
        <v>64</v>
      </c>
      <c r="Q395" s="17">
        <f t="shared" si="27"/>
        <v>1.6173827805914098E-2</v>
      </c>
      <c r="R395" s="11"/>
      <c r="S395" s="18">
        <f t="shared" si="25"/>
        <v>60.22</v>
      </c>
      <c r="T395" s="18">
        <f t="shared" si="26"/>
        <v>61.21</v>
      </c>
    </row>
    <row r="396" spans="1:20" ht="28.8" x14ac:dyDescent="0.3">
      <c r="A396" s="9" t="s">
        <v>1641</v>
      </c>
      <c r="B396" s="10" t="s">
        <v>950</v>
      </c>
      <c r="C396" s="10" t="s">
        <v>533</v>
      </c>
      <c r="D396" s="10">
        <v>17</v>
      </c>
      <c r="E396" s="10" t="s">
        <v>103</v>
      </c>
      <c r="F396" s="11" t="s">
        <v>583</v>
      </c>
      <c r="G396" s="12" t="s">
        <v>1642</v>
      </c>
      <c r="H396" s="11" t="s">
        <v>1274</v>
      </c>
      <c r="I396" s="11" t="s">
        <v>953</v>
      </c>
      <c r="J396" s="10"/>
      <c r="K396" s="10" t="s">
        <v>61</v>
      </c>
      <c r="L396" s="13" t="s">
        <v>62</v>
      </c>
      <c r="M396" s="14"/>
      <c r="N396" s="15" t="s">
        <v>1583</v>
      </c>
      <c r="O396" s="16"/>
      <c r="P396" s="14" t="s">
        <v>64</v>
      </c>
      <c r="Q396" s="17">
        <f t="shared" si="27"/>
        <v>1.0581210792836126E-3</v>
      </c>
      <c r="R396" s="11"/>
      <c r="S396" s="18">
        <f t="shared" si="25"/>
        <v>132.16999999999999</v>
      </c>
      <c r="T396" s="18">
        <f t="shared" si="26"/>
        <v>132.31</v>
      </c>
    </row>
    <row r="397" spans="1:20" ht="28.8" x14ac:dyDescent="0.3">
      <c r="A397" s="9" t="s">
        <v>1643</v>
      </c>
      <c r="B397" s="10" t="s">
        <v>950</v>
      </c>
      <c r="C397" s="10" t="s">
        <v>533</v>
      </c>
      <c r="D397" s="10">
        <v>17</v>
      </c>
      <c r="E397" s="10" t="s">
        <v>109</v>
      </c>
      <c r="F397" s="11" t="s">
        <v>717</v>
      </c>
      <c r="G397" s="12" t="s">
        <v>1644</v>
      </c>
      <c r="H397" s="11" t="s">
        <v>1051</v>
      </c>
      <c r="I397" s="11" t="s">
        <v>953</v>
      </c>
      <c r="J397" s="10"/>
      <c r="K397" s="10" t="s">
        <v>61</v>
      </c>
      <c r="L397" s="13" t="s">
        <v>62</v>
      </c>
      <c r="M397" s="14" t="s">
        <v>796</v>
      </c>
      <c r="N397" s="15" t="s">
        <v>1645</v>
      </c>
      <c r="O397" s="16"/>
      <c r="P397" s="14" t="s">
        <v>64</v>
      </c>
      <c r="Q397" s="17">
        <f t="shared" si="27"/>
        <v>3.0114871158025532E-2</v>
      </c>
      <c r="R397" s="11"/>
      <c r="S397" s="18">
        <f t="shared" si="25"/>
        <v>31.24</v>
      </c>
      <c r="T397" s="18">
        <f t="shared" si="26"/>
        <v>32.21</v>
      </c>
    </row>
    <row r="398" spans="1:20" ht="28.8" x14ac:dyDescent="0.3">
      <c r="A398" s="9" t="s">
        <v>1646</v>
      </c>
      <c r="B398" s="10" t="s">
        <v>950</v>
      </c>
      <c r="C398" s="10" t="s">
        <v>533</v>
      </c>
      <c r="D398" s="10">
        <v>17</v>
      </c>
      <c r="E398" s="10" t="s">
        <v>115</v>
      </c>
      <c r="F398" s="11" t="s">
        <v>1453</v>
      </c>
      <c r="G398" s="12" t="s">
        <v>1647</v>
      </c>
      <c r="H398" s="11" t="s">
        <v>1648</v>
      </c>
      <c r="I398" s="11" t="s">
        <v>953</v>
      </c>
      <c r="J398" s="10"/>
      <c r="K398" s="10" t="s">
        <v>61</v>
      </c>
      <c r="L398" s="13" t="s">
        <v>62</v>
      </c>
      <c r="M398" s="14"/>
      <c r="N398" s="15" t="s">
        <v>1649</v>
      </c>
      <c r="O398" s="16"/>
      <c r="P398" s="14" t="s">
        <v>64</v>
      </c>
      <c r="Q398" s="17">
        <f t="shared" si="27"/>
        <v>3.3098287523383191E-3</v>
      </c>
      <c r="R398" s="11"/>
      <c r="S398" s="18">
        <f t="shared" si="25"/>
        <v>69.260000000000005</v>
      </c>
      <c r="T398" s="18">
        <f t="shared" si="26"/>
        <v>69.489999999999995</v>
      </c>
    </row>
    <row r="399" spans="1:20" ht="28.8" x14ac:dyDescent="0.3">
      <c r="A399" s="9" t="s">
        <v>1650</v>
      </c>
      <c r="B399" s="10" t="s">
        <v>950</v>
      </c>
      <c r="C399" s="10" t="s">
        <v>533</v>
      </c>
      <c r="D399" s="10">
        <v>17</v>
      </c>
      <c r="E399" s="10" t="s">
        <v>120</v>
      </c>
      <c r="F399" s="11" t="s">
        <v>574</v>
      </c>
      <c r="G399" s="12" t="s">
        <v>1651</v>
      </c>
      <c r="H399" s="11" t="s">
        <v>1652</v>
      </c>
      <c r="I399" s="11" t="s">
        <v>953</v>
      </c>
      <c r="J399" s="10"/>
      <c r="K399" s="10" t="s">
        <v>61</v>
      </c>
      <c r="L399" s="13" t="s">
        <v>62</v>
      </c>
      <c r="M399" s="14"/>
      <c r="N399" s="15" t="s">
        <v>1653</v>
      </c>
      <c r="O399" s="16"/>
      <c r="P399" s="14" t="s">
        <v>64</v>
      </c>
      <c r="Q399" s="17">
        <f t="shared" si="27"/>
        <v>8.5814245164694337E-4</v>
      </c>
      <c r="R399" s="11"/>
      <c r="S399" s="18">
        <f t="shared" si="25"/>
        <v>151.36000000000001</v>
      </c>
      <c r="T399" s="18">
        <f t="shared" si="26"/>
        <v>151.49</v>
      </c>
    </row>
    <row r="400" spans="1:20" ht="28.8" x14ac:dyDescent="0.3">
      <c r="A400" s="9" t="s">
        <v>1654</v>
      </c>
      <c r="B400" s="10" t="s">
        <v>950</v>
      </c>
      <c r="C400" s="10" t="s">
        <v>533</v>
      </c>
      <c r="D400" s="10">
        <v>17</v>
      </c>
      <c r="E400" s="10" t="s">
        <v>126</v>
      </c>
      <c r="F400" s="11" t="s">
        <v>617</v>
      </c>
      <c r="G400" s="12" t="s">
        <v>1655</v>
      </c>
      <c r="H400" s="11" t="s">
        <v>1170</v>
      </c>
      <c r="I400" s="11" t="s">
        <v>953</v>
      </c>
      <c r="J400" s="10"/>
      <c r="K400" s="10" t="s">
        <v>61</v>
      </c>
      <c r="L400" s="13" t="s">
        <v>62</v>
      </c>
      <c r="M400" s="14"/>
      <c r="N400" s="15" t="s">
        <v>1594</v>
      </c>
      <c r="O400" s="16"/>
      <c r="P400" s="14" t="s">
        <v>64</v>
      </c>
      <c r="Q400" s="17">
        <f t="shared" si="27"/>
        <v>1.1649755730928175E-2</v>
      </c>
      <c r="R400" s="11"/>
      <c r="S400" s="18">
        <f t="shared" si="25"/>
        <v>26.3</v>
      </c>
      <c r="T400" s="18">
        <f t="shared" si="26"/>
        <v>26.61</v>
      </c>
    </row>
    <row r="401" spans="1:20" ht="28.8" x14ac:dyDescent="0.3">
      <c r="A401" s="9" t="s">
        <v>1656</v>
      </c>
      <c r="B401" s="10" t="s">
        <v>950</v>
      </c>
      <c r="C401" s="10" t="s">
        <v>533</v>
      </c>
      <c r="D401" s="10">
        <v>17</v>
      </c>
      <c r="E401" s="10" t="s">
        <v>130</v>
      </c>
      <c r="F401" s="11" t="s">
        <v>617</v>
      </c>
      <c r="G401" s="12" t="s">
        <v>1657</v>
      </c>
      <c r="H401" s="11" t="s">
        <v>1658</v>
      </c>
      <c r="I401" s="11" t="s">
        <v>953</v>
      </c>
      <c r="J401" s="10"/>
      <c r="K401" s="10" t="s">
        <v>61</v>
      </c>
      <c r="L401" s="13" t="s">
        <v>62</v>
      </c>
      <c r="M401" s="14" t="s">
        <v>583</v>
      </c>
      <c r="N401" s="15" t="s">
        <v>1758</v>
      </c>
      <c r="O401" s="16"/>
      <c r="P401" s="14" t="s">
        <v>64</v>
      </c>
      <c r="Q401" s="17">
        <f t="shared" si="27"/>
        <v>2.37265637962502E-2</v>
      </c>
      <c r="R401" s="11"/>
      <c r="S401" s="18">
        <f t="shared" si="25"/>
        <v>58.84</v>
      </c>
      <c r="T401" s="18">
        <f t="shared" si="26"/>
        <v>60.27</v>
      </c>
    </row>
    <row r="402" spans="1:20" ht="28.8" x14ac:dyDescent="0.3">
      <c r="A402" s="9" t="s">
        <v>1659</v>
      </c>
      <c r="B402" s="10" t="s">
        <v>950</v>
      </c>
      <c r="C402" s="10" t="s">
        <v>533</v>
      </c>
      <c r="D402" s="10">
        <v>17</v>
      </c>
      <c r="E402" s="10" t="s">
        <v>135</v>
      </c>
      <c r="F402" s="11" t="s">
        <v>738</v>
      </c>
      <c r="G402" s="12" t="s">
        <v>1660</v>
      </c>
      <c r="H402" s="11" t="s">
        <v>1661</v>
      </c>
      <c r="I402" s="11" t="s">
        <v>953</v>
      </c>
      <c r="J402" s="10"/>
      <c r="K402" s="10" t="s">
        <v>61</v>
      </c>
      <c r="L402" s="13" t="s">
        <v>62</v>
      </c>
      <c r="M402" s="14"/>
      <c r="N402" s="15" t="s">
        <v>1662</v>
      </c>
      <c r="O402" s="16"/>
      <c r="P402" s="14" t="s">
        <v>64</v>
      </c>
      <c r="Q402" s="17">
        <f t="shared" si="27"/>
        <v>9.653647752395007E-3</v>
      </c>
      <c r="R402" s="11"/>
      <c r="S402" s="18">
        <f t="shared" si="25"/>
        <v>134.38999999999999</v>
      </c>
      <c r="T402" s="18">
        <f t="shared" si="26"/>
        <v>135.69999999999999</v>
      </c>
    </row>
    <row r="403" spans="1:20" ht="28.8" x14ac:dyDescent="0.3">
      <c r="A403" s="9" t="s">
        <v>1663</v>
      </c>
      <c r="B403" s="10" t="s">
        <v>950</v>
      </c>
      <c r="C403" s="10" t="s">
        <v>533</v>
      </c>
      <c r="D403" s="10">
        <v>17</v>
      </c>
      <c r="E403" s="10" t="s">
        <v>146</v>
      </c>
      <c r="F403" s="11" t="s">
        <v>943</v>
      </c>
      <c r="G403" s="12" t="s">
        <v>1664</v>
      </c>
      <c r="H403" s="11" t="s">
        <v>1665</v>
      </c>
      <c r="I403" s="11" t="s">
        <v>953</v>
      </c>
      <c r="J403" s="10"/>
      <c r="K403" s="10" t="s">
        <v>61</v>
      </c>
      <c r="L403" s="13" t="s">
        <v>62</v>
      </c>
      <c r="M403" s="14"/>
      <c r="N403" s="15" t="s">
        <v>1666</v>
      </c>
      <c r="O403" s="16"/>
      <c r="P403" s="14" t="s">
        <v>64</v>
      </c>
      <c r="Q403" s="17">
        <f t="shared" si="27"/>
        <v>1.0618820944709022E-2</v>
      </c>
      <c r="R403" s="11"/>
      <c r="S403" s="18">
        <f t="shared" si="25"/>
        <v>135.1</v>
      </c>
      <c r="T403" s="18">
        <f t="shared" si="26"/>
        <v>136.55000000000001</v>
      </c>
    </row>
    <row r="404" spans="1:20" ht="28.8" x14ac:dyDescent="0.3">
      <c r="A404" s="9" t="s">
        <v>1667</v>
      </c>
      <c r="B404" s="10" t="s">
        <v>950</v>
      </c>
      <c r="C404" s="10" t="s">
        <v>533</v>
      </c>
      <c r="D404" s="10">
        <v>17</v>
      </c>
      <c r="E404" s="10" t="s">
        <v>150</v>
      </c>
      <c r="F404" s="11" t="s">
        <v>601</v>
      </c>
      <c r="G404" s="12" t="s">
        <v>1668</v>
      </c>
      <c r="H404" s="11" t="s">
        <v>1669</v>
      </c>
      <c r="I404" s="11" t="s">
        <v>953</v>
      </c>
      <c r="J404" s="10"/>
      <c r="K404" s="10" t="s">
        <v>61</v>
      </c>
      <c r="L404" s="13" t="s">
        <v>62</v>
      </c>
      <c r="M404" s="14"/>
      <c r="N404" s="15" t="s">
        <v>1670</v>
      </c>
      <c r="O404" s="16"/>
      <c r="P404" s="14" t="s">
        <v>64</v>
      </c>
      <c r="Q404" s="17">
        <f t="shared" si="27"/>
        <v>1.0519302920859779E-2</v>
      </c>
      <c r="R404" s="11"/>
      <c r="S404" s="18">
        <f t="shared" si="25"/>
        <v>282.19</v>
      </c>
      <c r="T404" s="18">
        <f t="shared" si="26"/>
        <v>285.19</v>
      </c>
    </row>
    <row r="405" spans="1:20" ht="28.8" x14ac:dyDescent="0.3">
      <c r="A405" s="9" t="s">
        <v>1671</v>
      </c>
      <c r="B405" s="10" t="s">
        <v>950</v>
      </c>
      <c r="C405" s="10" t="s">
        <v>533</v>
      </c>
      <c r="D405" s="10">
        <v>18</v>
      </c>
      <c r="E405" s="10" t="s">
        <v>56</v>
      </c>
      <c r="F405" s="11" t="s">
        <v>822</v>
      </c>
      <c r="G405" s="12" t="s">
        <v>1613</v>
      </c>
      <c r="H405" s="11" t="s">
        <v>1672</v>
      </c>
      <c r="I405" s="11" t="s">
        <v>953</v>
      </c>
      <c r="J405" s="10"/>
      <c r="K405" s="10" t="s">
        <v>61</v>
      </c>
      <c r="L405" s="13" t="s">
        <v>62</v>
      </c>
      <c r="M405" s="14"/>
      <c r="N405" s="15" t="s">
        <v>127</v>
      </c>
      <c r="O405" s="16"/>
      <c r="P405" s="14" t="s">
        <v>64</v>
      </c>
      <c r="Q405" s="17">
        <f t="shared" si="27"/>
        <v>8.1903276131045574E-3</v>
      </c>
      <c r="R405" s="11"/>
      <c r="S405" s="18">
        <f t="shared" si="25"/>
        <v>25.43</v>
      </c>
      <c r="T405" s="18">
        <f t="shared" si="26"/>
        <v>25.64</v>
      </c>
    </row>
    <row r="406" spans="1:20" ht="28.8" x14ac:dyDescent="0.3">
      <c r="A406" s="9" t="s">
        <v>1673</v>
      </c>
      <c r="B406" s="10" t="s">
        <v>950</v>
      </c>
      <c r="C406" s="10" t="s">
        <v>533</v>
      </c>
      <c r="D406" s="10">
        <v>18</v>
      </c>
      <c r="E406" s="10" t="s">
        <v>66</v>
      </c>
      <c r="F406" s="11" t="s">
        <v>822</v>
      </c>
      <c r="G406" s="12" t="s">
        <v>1674</v>
      </c>
      <c r="H406" s="11" t="s">
        <v>1675</v>
      </c>
      <c r="I406" s="11" t="s">
        <v>953</v>
      </c>
      <c r="J406" s="10"/>
      <c r="K406" s="10" t="s">
        <v>61</v>
      </c>
      <c r="L406" s="13" t="s">
        <v>62</v>
      </c>
      <c r="M406" s="14"/>
      <c r="N406" s="15" t="s">
        <v>1676</v>
      </c>
      <c r="O406" s="16"/>
      <c r="P406" s="14" t="s">
        <v>64</v>
      </c>
      <c r="Q406" s="17">
        <f t="shared" si="27"/>
        <v>4.8824593128389878E-3</v>
      </c>
      <c r="R406" s="11"/>
      <c r="S406" s="18">
        <f t="shared" si="25"/>
        <v>55.03</v>
      </c>
      <c r="T406" s="18">
        <f t="shared" si="26"/>
        <v>55.3</v>
      </c>
    </row>
    <row r="407" spans="1:20" ht="28.8" x14ac:dyDescent="0.3">
      <c r="A407" s="9" t="s">
        <v>1677</v>
      </c>
      <c r="B407" s="10" t="s">
        <v>950</v>
      </c>
      <c r="C407" s="10" t="s">
        <v>533</v>
      </c>
      <c r="D407" s="10">
        <v>18</v>
      </c>
      <c r="E407" s="10" t="s">
        <v>70</v>
      </c>
      <c r="F407" s="11" t="s">
        <v>540</v>
      </c>
      <c r="G407" s="12" t="s">
        <v>1678</v>
      </c>
      <c r="H407" s="11" t="s">
        <v>1679</v>
      </c>
      <c r="I407" s="11" t="s">
        <v>953</v>
      </c>
      <c r="J407" s="10"/>
      <c r="K407" s="10" t="s">
        <v>61</v>
      </c>
      <c r="L407" s="13" t="s">
        <v>62</v>
      </c>
      <c r="M407" s="14"/>
      <c r="N407" s="15" t="s">
        <v>1680</v>
      </c>
      <c r="O407" s="16"/>
      <c r="P407" s="14" t="s">
        <v>64</v>
      </c>
      <c r="Q407" s="17">
        <f t="shared" si="27"/>
        <v>2.4820922871897418E-2</v>
      </c>
      <c r="R407" s="11"/>
      <c r="S407" s="18">
        <f t="shared" si="25"/>
        <v>117.08</v>
      </c>
      <c r="T407" s="18">
        <f t="shared" si="26"/>
        <v>120.06</v>
      </c>
    </row>
    <row r="408" spans="1:20" ht="28.8" x14ac:dyDescent="0.3">
      <c r="A408" s="9" t="s">
        <v>1681</v>
      </c>
      <c r="B408" s="10" t="s">
        <v>950</v>
      </c>
      <c r="C408" s="10" t="s">
        <v>533</v>
      </c>
      <c r="D408" s="10">
        <v>18</v>
      </c>
      <c r="E408" s="10" t="s">
        <v>75</v>
      </c>
      <c r="F408" s="11" t="s">
        <v>540</v>
      </c>
      <c r="G408" s="12" t="s">
        <v>1682</v>
      </c>
      <c r="H408" s="11" t="s">
        <v>1683</v>
      </c>
      <c r="I408" s="11" t="s">
        <v>953</v>
      </c>
      <c r="J408" s="10"/>
      <c r="K408" s="10" t="s">
        <v>61</v>
      </c>
      <c r="L408" s="13" t="s">
        <v>62</v>
      </c>
      <c r="M408" s="14" t="s">
        <v>1686</v>
      </c>
      <c r="N408" s="15" t="s">
        <v>1684</v>
      </c>
      <c r="O408" s="16"/>
      <c r="P408" s="14" t="s">
        <v>64</v>
      </c>
      <c r="Q408" s="17">
        <f t="shared" si="27"/>
        <v>3.138158417414795E-2</v>
      </c>
      <c r="R408" s="11"/>
      <c r="S408" s="18">
        <f t="shared" si="25"/>
        <v>243.84</v>
      </c>
      <c r="T408" s="18">
        <f t="shared" si="26"/>
        <v>251.74</v>
      </c>
    </row>
    <row r="409" spans="1:20" ht="28.8" x14ac:dyDescent="0.3">
      <c r="A409" s="9" t="s">
        <v>1685</v>
      </c>
      <c r="B409" s="10" t="s">
        <v>950</v>
      </c>
      <c r="C409" s="10" t="s">
        <v>533</v>
      </c>
      <c r="D409" s="10">
        <v>18</v>
      </c>
      <c r="E409" s="10" t="s">
        <v>80</v>
      </c>
      <c r="F409" s="11" t="s">
        <v>1686</v>
      </c>
      <c r="G409" s="12" t="s">
        <v>1687</v>
      </c>
      <c r="H409" s="11" t="s">
        <v>1260</v>
      </c>
      <c r="I409" s="11" t="s">
        <v>953</v>
      </c>
      <c r="J409" s="10"/>
      <c r="K409" s="10" t="s">
        <v>61</v>
      </c>
      <c r="L409" s="13" t="s">
        <v>62</v>
      </c>
      <c r="M409" s="14"/>
      <c r="N409" s="15" t="s">
        <v>1688</v>
      </c>
      <c r="O409" s="16"/>
      <c r="P409" s="14" t="s">
        <v>64</v>
      </c>
      <c r="Q409" s="17">
        <f t="shared" si="27"/>
        <v>8.1607632037700249E-3</v>
      </c>
      <c r="R409" s="11"/>
      <c r="S409" s="18">
        <f t="shared" si="25"/>
        <v>517.75</v>
      </c>
      <c r="T409" s="18">
        <f t="shared" si="26"/>
        <v>522.01</v>
      </c>
    </row>
    <row r="410" spans="1:20" ht="28.8" x14ac:dyDescent="0.3">
      <c r="A410" s="9" t="s">
        <v>1689</v>
      </c>
      <c r="B410" s="10" t="s">
        <v>950</v>
      </c>
      <c r="C410" s="10" t="s">
        <v>533</v>
      </c>
      <c r="D410" s="10">
        <v>18</v>
      </c>
      <c r="E410" s="10" t="s">
        <v>86</v>
      </c>
      <c r="F410" s="11" t="s">
        <v>1686</v>
      </c>
      <c r="G410" s="12" t="s">
        <v>1690</v>
      </c>
      <c r="H410" s="11" t="s">
        <v>1691</v>
      </c>
      <c r="I410" s="11" t="s">
        <v>953</v>
      </c>
      <c r="J410" s="10"/>
      <c r="K410" s="10" t="s">
        <v>61</v>
      </c>
      <c r="L410" s="13" t="s">
        <v>62</v>
      </c>
      <c r="M410" s="14"/>
      <c r="N410" s="15" t="s">
        <v>1692</v>
      </c>
      <c r="O410" s="16"/>
      <c r="P410" s="14" t="s">
        <v>64</v>
      </c>
      <c r="Q410" s="17">
        <f t="shared" si="27"/>
        <v>8.7536348139976988E-3</v>
      </c>
      <c r="R410" s="11"/>
      <c r="S410" s="18">
        <f t="shared" si="25"/>
        <v>988.57</v>
      </c>
      <c r="T410" s="18">
        <f t="shared" si="26"/>
        <v>997.3</v>
      </c>
    </row>
    <row r="411" spans="1:20" ht="28.8" x14ac:dyDescent="0.3">
      <c r="A411" s="9" t="s">
        <v>1693</v>
      </c>
      <c r="B411" s="10" t="s">
        <v>950</v>
      </c>
      <c r="C411" s="10" t="s">
        <v>533</v>
      </c>
      <c r="D411" s="10">
        <v>18</v>
      </c>
      <c r="E411" s="10" t="s">
        <v>92</v>
      </c>
      <c r="F411" s="11" t="s">
        <v>583</v>
      </c>
      <c r="G411" s="12" t="s">
        <v>1694</v>
      </c>
      <c r="H411" s="11" t="s">
        <v>1695</v>
      </c>
      <c r="I411" s="11" t="s">
        <v>953</v>
      </c>
      <c r="J411" s="10"/>
      <c r="K411" s="10" t="s">
        <v>61</v>
      </c>
      <c r="L411" s="13" t="s">
        <v>62</v>
      </c>
      <c r="M411" s="14"/>
      <c r="N411" s="15" t="s">
        <v>1696</v>
      </c>
      <c r="O411" s="16"/>
      <c r="P411" s="14" t="s">
        <v>64</v>
      </c>
      <c r="Q411" s="17">
        <f t="shared" si="27"/>
        <v>7.7274323849665918E-3</v>
      </c>
      <c r="R411" s="11"/>
      <c r="S411" s="18">
        <f t="shared" si="25"/>
        <v>28.25</v>
      </c>
      <c r="T411" s="18">
        <f t="shared" si="26"/>
        <v>28.47</v>
      </c>
    </row>
    <row r="412" spans="1:20" ht="28.8" x14ac:dyDescent="0.3">
      <c r="A412" s="9" t="s">
        <v>1697</v>
      </c>
      <c r="B412" s="10" t="s">
        <v>950</v>
      </c>
      <c r="C412" s="10" t="s">
        <v>533</v>
      </c>
      <c r="D412" s="10">
        <v>18</v>
      </c>
      <c r="E412" s="10" t="s">
        <v>98</v>
      </c>
      <c r="F412" s="11" t="s">
        <v>583</v>
      </c>
      <c r="G412" s="12" t="s">
        <v>1698</v>
      </c>
      <c r="H412" s="11" t="s">
        <v>1699</v>
      </c>
      <c r="I412" s="11" t="s">
        <v>953</v>
      </c>
      <c r="J412" s="10"/>
      <c r="K412" s="10" t="s">
        <v>61</v>
      </c>
      <c r="L412" s="13" t="s">
        <v>62</v>
      </c>
      <c r="M412" s="14"/>
      <c r="N412" s="15" t="s">
        <v>1700</v>
      </c>
      <c r="O412" s="16"/>
      <c r="P412" s="14" t="s">
        <v>64</v>
      </c>
      <c r="Q412" s="17">
        <f t="shared" si="27"/>
        <v>2.1090201168072635E-2</v>
      </c>
      <c r="R412" s="11"/>
      <c r="S412" s="18">
        <f t="shared" si="25"/>
        <v>60.34</v>
      </c>
      <c r="T412" s="18">
        <f t="shared" si="26"/>
        <v>61.64</v>
      </c>
    </row>
    <row r="413" spans="1:20" ht="28.8" x14ac:dyDescent="0.3">
      <c r="A413" s="9" t="s">
        <v>1701</v>
      </c>
      <c r="B413" s="10" t="s">
        <v>950</v>
      </c>
      <c r="C413" s="10" t="s">
        <v>533</v>
      </c>
      <c r="D413" s="10">
        <v>18</v>
      </c>
      <c r="E413" s="10" t="s">
        <v>103</v>
      </c>
      <c r="F413" s="11" t="s">
        <v>1702</v>
      </c>
      <c r="G413" s="12" t="s">
        <v>1703</v>
      </c>
      <c r="H413" s="11" t="s">
        <v>1704</v>
      </c>
      <c r="I413" s="11" t="s">
        <v>953</v>
      </c>
      <c r="J413" s="10"/>
      <c r="K413" s="10" t="s">
        <v>61</v>
      </c>
      <c r="L413" s="13" t="s">
        <v>62</v>
      </c>
      <c r="M413" s="14"/>
      <c r="N413" s="15" t="s">
        <v>1705</v>
      </c>
      <c r="O413" s="16"/>
      <c r="P413" s="14" t="s">
        <v>64</v>
      </c>
      <c r="Q413" s="17">
        <f t="shared" si="27"/>
        <v>3.0145451804952932E-4</v>
      </c>
      <c r="R413" s="11"/>
      <c r="S413" s="18">
        <f t="shared" si="25"/>
        <v>132.65</v>
      </c>
      <c r="T413" s="18">
        <f t="shared" si="26"/>
        <v>132.69</v>
      </c>
    </row>
    <row r="414" spans="1:20" ht="28.8" x14ac:dyDescent="0.3">
      <c r="A414" s="9" t="s">
        <v>1706</v>
      </c>
      <c r="B414" s="10" t="s">
        <v>950</v>
      </c>
      <c r="C414" s="10" t="s">
        <v>533</v>
      </c>
      <c r="D414" s="10">
        <v>18</v>
      </c>
      <c r="E414" s="10" t="s">
        <v>109</v>
      </c>
      <c r="F414" s="11" t="s">
        <v>717</v>
      </c>
      <c r="G414" s="12" t="s">
        <v>1707</v>
      </c>
      <c r="H414" s="11" t="s">
        <v>1708</v>
      </c>
      <c r="I414" s="11" t="s">
        <v>953</v>
      </c>
      <c r="J414" s="10"/>
      <c r="K414" s="10" t="s">
        <v>61</v>
      </c>
      <c r="L414" s="13" t="s">
        <v>62</v>
      </c>
      <c r="M414" s="14"/>
      <c r="N414" s="15" t="s">
        <v>1709</v>
      </c>
      <c r="O414" s="16"/>
      <c r="P414" s="14" t="s">
        <v>64</v>
      </c>
      <c r="Q414" s="17">
        <f t="shared" si="27"/>
        <v>1.6393442622950744E-2</v>
      </c>
      <c r="R414" s="11"/>
      <c r="S414" s="18">
        <f t="shared" si="25"/>
        <v>31.8</v>
      </c>
      <c r="T414" s="18">
        <f t="shared" si="26"/>
        <v>32.33</v>
      </c>
    </row>
    <row r="415" spans="1:20" ht="28.8" x14ac:dyDescent="0.3">
      <c r="A415" s="9" t="s">
        <v>1710</v>
      </c>
      <c r="B415" s="10" t="s">
        <v>950</v>
      </c>
      <c r="C415" s="10" t="s">
        <v>533</v>
      </c>
      <c r="D415" s="10">
        <v>18</v>
      </c>
      <c r="E415" s="10" t="s">
        <v>115</v>
      </c>
      <c r="F415" s="11" t="s">
        <v>717</v>
      </c>
      <c r="G415" s="12" t="s">
        <v>1711</v>
      </c>
      <c r="H415" s="11" t="s">
        <v>1712</v>
      </c>
      <c r="I415" s="11" t="s">
        <v>953</v>
      </c>
      <c r="J415" s="10"/>
      <c r="K415" s="10" t="s">
        <v>61</v>
      </c>
      <c r="L415" s="13" t="s">
        <v>62</v>
      </c>
      <c r="M415" s="14"/>
      <c r="N415" s="15" t="s">
        <v>1525</v>
      </c>
      <c r="O415" s="16"/>
      <c r="P415" s="14" t="s">
        <v>64</v>
      </c>
      <c r="Q415" s="17">
        <f t="shared" si="27"/>
        <v>5.9368664929046709E-3</v>
      </c>
      <c r="R415" s="11"/>
      <c r="S415" s="18">
        <f t="shared" si="25"/>
        <v>68.650000000000006</v>
      </c>
      <c r="T415" s="18">
        <f t="shared" si="26"/>
        <v>69.06</v>
      </c>
    </row>
    <row r="416" spans="1:20" ht="28.8" x14ac:dyDescent="0.3">
      <c r="A416" s="9" t="s">
        <v>1713</v>
      </c>
      <c r="B416" s="10" t="s">
        <v>950</v>
      </c>
      <c r="C416" s="10" t="s">
        <v>533</v>
      </c>
      <c r="D416" s="10">
        <v>18</v>
      </c>
      <c r="E416" s="10" t="s">
        <v>120</v>
      </c>
      <c r="F416" s="11" t="s">
        <v>658</v>
      </c>
      <c r="G416" s="12" t="s">
        <v>1714</v>
      </c>
      <c r="H416" s="11" t="s">
        <v>1471</v>
      </c>
      <c r="I416" s="11" t="s">
        <v>953</v>
      </c>
      <c r="J416" s="10"/>
      <c r="K416" s="10" t="s">
        <v>61</v>
      </c>
      <c r="L416" s="13" t="s">
        <v>62</v>
      </c>
      <c r="M416" s="14"/>
      <c r="N416" s="15" t="s">
        <v>1715</v>
      </c>
      <c r="O416" s="16"/>
      <c r="P416" s="14" t="s">
        <v>64</v>
      </c>
      <c r="Q416" s="17">
        <f t="shared" si="27"/>
        <v>5.7225547589291889E-3</v>
      </c>
      <c r="R416" s="11"/>
      <c r="S416" s="18">
        <f t="shared" si="25"/>
        <v>151.16</v>
      </c>
      <c r="T416" s="18">
        <f t="shared" si="26"/>
        <v>152.03</v>
      </c>
    </row>
    <row r="417" spans="1:20" ht="28.8" x14ac:dyDescent="0.3">
      <c r="A417" s="9" t="s">
        <v>1716</v>
      </c>
      <c r="B417" s="10" t="s">
        <v>950</v>
      </c>
      <c r="C417" s="10" t="s">
        <v>533</v>
      </c>
      <c r="D417" s="10">
        <v>18</v>
      </c>
      <c r="E417" s="10" t="s">
        <v>126</v>
      </c>
      <c r="F417" s="11" t="s">
        <v>822</v>
      </c>
      <c r="G417" s="12" t="s">
        <v>1487</v>
      </c>
      <c r="H417" s="11" t="s">
        <v>1712</v>
      </c>
      <c r="I417" s="11" t="s">
        <v>953</v>
      </c>
      <c r="J417" s="10"/>
      <c r="K417" s="10" t="s">
        <v>61</v>
      </c>
      <c r="L417" s="13" t="s">
        <v>62</v>
      </c>
      <c r="M417" s="14"/>
      <c r="N417" s="15" t="s">
        <v>1717</v>
      </c>
      <c r="O417" s="16"/>
      <c r="P417" s="14" t="s">
        <v>64</v>
      </c>
      <c r="Q417" s="17">
        <f t="shared" si="27"/>
        <v>2.6955201214882339E-2</v>
      </c>
      <c r="R417" s="11"/>
      <c r="S417" s="18">
        <f t="shared" si="25"/>
        <v>25.63</v>
      </c>
      <c r="T417" s="18">
        <f t="shared" si="26"/>
        <v>26.34</v>
      </c>
    </row>
    <row r="418" spans="1:20" ht="28.8" x14ac:dyDescent="0.3">
      <c r="A418" s="9" t="s">
        <v>1718</v>
      </c>
      <c r="B418" s="10" t="s">
        <v>950</v>
      </c>
      <c r="C418" s="10" t="s">
        <v>533</v>
      </c>
      <c r="D418" s="10">
        <v>18</v>
      </c>
      <c r="E418" s="10" t="s">
        <v>130</v>
      </c>
      <c r="F418" s="11" t="s">
        <v>617</v>
      </c>
      <c r="G418" s="12" t="s">
        <v>805</v>
      </c>
      <c r="H418" s="11" t="s">
        <v>1719</v>
      </c>
      <c r="I418" s="11" t="s">
        <v>953</v>
      </c>
      <c r="J418" s="10"/>
      <c r="K418" s="10" t="s">
        <v>61</v>
      </c>
      <c r="L418" s="13" t="s">
        <v>62</v>
      </c>
      <c r="M418" s="14"/>
      <c r="N418" s="15" t="s">
        <v>1720</v>
      </c>
      <c r="O418" s="16"/>
      <c r="P418" s="14" t="s">
        <v>64</v>
      </c>
      <c r="Q418" s="17">
        <f t="shared" si="27"/>
        <v>2.4926205313217386E-2</v>
      </c>
      <c r="R418" s="11"/>
      <c r="S418" s="18">
        <f t="shared" si="25"/>
        <v>59.46</v>
      </c>
      <c r="T418" s="18">
        <f t="shared" si="26"/>
        <v>60.98</v>
      </c>
    </row>
    <row r="419" spans="1:20" ht="28.8" x14ac:dyDescent="0.3">
      <c r="A419" s="9" t="s">
        <v>1721</v>
      </c>
      <c r="B419" s="10" t="s">
        <v>950</v>
      </c>
      <c r="C419" s="10" t="s">
        <v>533</v>
      </c>
      <c r="D419" s="10">
        <v>18</v>
      </c>
      <c r="E419" s="10" t="s">
        <v>135</v>
      </c>
      <c r="F419" s="11" t="s">
        <v>1722</v>
      </c>
      <c r="G419" s="12" t="s">
        <v>1723</v>
      </c>
      <c r="H419" s="11" t="s">
        <v>1724</v>
      </c>
      <c r="I419" s="11" t="s">
        <v>953</v>
      </c>
      <c r="J419" s="10"/>
      <c r="K419" s="10" t="s">
        <v>61</v>
      </c>
      <c r="L419" s="13" t="s">
        <v>62</v>
      </c>
      <c r="M419" s="14"/>
      <c r="N419" s="15" t="s">
        <v>1725</v>
      </c>
      <c r="O419" s="16"/>
      <c r="P419" s="14" t="s">
        <v>64</v>
      </c>
      <c r="Q419" s="17">
        <f t="shared" si="27"/>
        <v>3.7450433250111564E-3</v>
      </c>
      <c r="R419" s="11"/>
      <c r="S419" s="18">
        <f t="shared" si="25"/>
        <v>135.66999999999999</v>
      </c>
      <c r="T419" s="18">
        <f t="shared" si="26"/>
        <v>136.18</v>
      </c>
    </row>
    <row r="420" spans="1:20" ht="28.8" x14ac:dyDescent="0.3">
      <c r="A420" s="9" t="s">
        <v>1726</v>
      </c>
      <c r="B420" s="10" t="s">
        <v>950</v>
      </c>
      <c r="C420" s="10" t="s">
        <v>533</v>
      </c>
      <c r="D420" s="10">
        <v>18</v>
      </c>
      <c r="E420" s="10" t="s">
        <v>146</v>
      </c>
      <c r="F420" s="11" t="s">
        <v>1478</v>
      </c>
      <c r="G420" s="12" t="s">
        <v>1727</v>
      </c>
      <c r="H420" s="11" t="s">
        <v>1728</v>
      </c>
      <c r="I420" s="11" t="s">
        <v>953</v>
      </c>
      <c r="J420" s="10"/>
      <c r="K420" s="10" t="s">
        <v>61</v>
      </c>
      <c r="L420" s="13" t="s">
        <v>62</v>
      </c>
      <c r="M420" s="14"/>
      <c r="N420" s="15" t="s">
        <v>1729</v>
      </c>
      <c r="O420" s="16"/>
      <c r="P420" s="14" t="s">
        <v>64</v>
      </c>
      <c r="Q420" s="17">
        <f t="shared" si="27"/>
        <v>9.6350364963503146E-3</v>
      </c>
      <c r="R420" s="11"/>
      <c r="S420" s="18">
        <f t="shared" si="25"/>
        <v>135.68</v>
      </c>
      <c r="T420" s="18">
        <f t="shared" si="26"/>
        <v>137</v>
      </c>
    </row>
    <row r="421" spans="1:20" ht="28.8" x14ac:dyDescent="0.3">
      <c r="A421" s="9" t="s">
        <v>1730</v>
      </c>
      <c r="B421" s="10" t="s">
        <v>950</v>
      </c>
      <c r="C421" s="10" t="s">
        <v>533</v>
      </c>
      <c r="D421" s="10">
        <v>18</v>
      </c>
      <c r="E421" s="10" t="s">
        <v>150</v>
      </c>
      <c r="F421" s="11" t="s">
        <v>1478</v>
      </c>
      <c r="G421" s="12" t="s">
        <v>1731</v>
      </c>
      <c r="H421" s="11" t="s">
        <v>1732</v>
      </c>
      <c r="I421" s="11" t="s">
        <v>953</v>
      </c>
      <c r="J421" s="10"/>
      <c r="K421" s="10" t="s">
        <v>61</v>
      </c>
      <c r="L421" s="13" t="s">
        <v>62</v>
      </c>
      <c r="M421" s="14"/>
      <c r="N421" s="15" t="s">
        <v>1733</v>
      </c>
      <c r="O421" s="16"/>
      <c r="P421" s="14" t="s">
        <v>64</v>
      </c>
      <c r="Q421" s="17">
        <f t="shared" si="27"/>
        <v>1.1824853058810386E-3</v>
      </c>
      <c r="R421" s="11"/>
      <c r="S421" s="18">
        <f t="shared" si="25"/>
        <v>287.19</v>
      </c>
      <c r="T421" s="18">
        <f t="shared" si="26"/>
        <v>287.52999999999997</v>
      </c>
    </row>
  </sheetData>
  <autoFilter ref="A1:T421" xr:uid="{00000000-0009-0000-0000-000001000000}"/>
  <conditionalFormatting sqref="A2:R421">
    <cfRule type="expression" dxfId="0" priority="1">
      <formula>AND($L2="YES",$N2="")</formula>
    </cfRule>
  </conditionalFormatting>
  <conditionalFormatting sqref="Q2:Q421">
    <cfRule type="dataBar" priority="2">
      <dataBar>
        <cfvo type="num" val="0"/>
        <cfvo type="max"/>
        <color rgb="FF638EC6"/>
      </dataBar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8" customWidth="1"/>
    <col min="4" max="4" width="28" customWidth="1"/>
    <col min="5" max="5" width="16" customWidth="1"/>
    <col min="6" max="6" width="28" customWidth="1"/>
    <col min="7" max="7" width="16" customWidth="1"/>
    <col min="8" max="8" width="14" customWidth="1"/>
    <col min="9" max="9" width="24" customWidth="1"/>
    <col min="10" max="10" width="55" customWidth="1"/>
  </cols>
  <sheetData>
    <row r="1" spans="1:10" x14ac:dyDescent="0.3">
      <c r="A1" s="5" t="s">
        <v>36</v>
      </c>
      <c r="B1" s="5" t="s">
        <v>35</v>
      </c>
      <c r="C1" s="5" t="s">
        <v>37</v>
      </c>
      <c r="D1" s="5" t="s">
        <v>1734</v>
      </c>
      <c r="E1" s="5" t="s">
        <v>1735</v>
      </c>
      <c r="F1" s="5" t="s">
        <v>1736</v>
      </c>
      <c r="G1" s="5" t="s">
        <v>1737</v>
      </c>
      <c r="H1" s="5" t="s">
        <v>1738</v>
      </c>
      <c r="I1" s="5" t="s">
        <v>1739</v>
      </c>
      <c r="J1" s="5" t="s">
        <v>1740</v>
      </c>
    </row>
    <row r="2" spans="1:10" ht="28.8" x14ac:dyDescent="0.3">
      <c r="A2" s="2">
        <v>13</v>
      </c>
      <c r="B2" s="2" t="s">
        <v>533</v>
      </c>
      <c r="C2" s="2" t="s">
        <v>115</v>
      </c>
      <c r="D2" s="2" t="s">
        <v>574</v>
      </c>
      <c r="E2" s="2" t="s">
        <v>575</v>
      </c>
      <c r="F2" s="2" t="s">
        <v>572</v>
      </c>
      <c r="G2" s="2" t="s">
        <v>573</v>
      </c>
      <c r="H2" s="2" t="s">
        <v>166</v>
      </c>
      <c r="I2" s="2" t="s">
        <v>62</v>
      </c>
      <c r="J2" s="2" t="s">
        <v>158</v>
      </c>
    </row>
    <row r="3" spans="1:10" ht="28.8" x14ac:dyDescent="0.3">
      <c r="A3" s="2">
        <v>13</v>
      </c>
      <c r="B3" s="2" t="s">
        <v>533</v>
      </c>
      <c r="C3" s="2" t="s">
        <v>141</v>
      </c>
      <c r="D3" s="2" t="s">
        <v>583</v>
      </c>
      <c r="E3" s="2" t="s">
        <v>598</v>
      </c>
      <c r="F3" s="2" t="s">
        <v>572</v>
      </c>
      <c r="G3" s="2" t="s">
        <v>597</v>
      </c>
      <c r="H3" s="2" t="s">
        <v>227</v>
      </c>
      <c r="I3" s="2" t="s">
        <v>62</v>
      </c>
      <c r="J3" s="2" t="s">
        <v>158</v>
      </c>
    </row>
    <row r="4" spans="1:10" ht="28.8" x14ac:dyDescent="0.3">
      <c r="A4" s="2">
        <v>13</v>
      </c>
      <c r="B4" s="2" t="s">
        <v>533</v>
      </c>
      <c r="C4" s="2" t="s">
        <v>120</v>
      </c>
      <c r="D4" s="2" t="s">
        <v>579</v>
      </c>
      <c r="E4" s="2" t="s">
        <v>580</v>
      </c>
      <c r="F4" s="2" t="s">
        <v>572</v>
      </c>
      <c r="G4" s="2" t="s">
        <v>578</v>
      </c>
      <c r="H4" s="2" t="s">
        <v>227</v>
      </c>
      <c r="I4" s="2" t="s">
        <v>62</v>
      </c>
      <c r="J4" s="2" t="s">
        <v>158</v>
      </c>
    </row>
    <row r="5" spans="1:10" ht="28.8" x14ac:dyDescent="0.3">
      <c r="A5" s="2">
        <v>14</v>
      </c>
      <c r="B5" s="2" t="s">
        <v>533</v>
      </c>
      <c r="C5" s="2" t="s">
        <v>120</v>
      </c>
      <c r="D5" s="2" t="s">
        <v>658</v>
      </c>
      <c r="E5" s="2" t="s">
        <v>659</v>
      </c>
      <c r="F5" s="2" t="s">
        <v>656</v>
      </c>
      <c r="G5" s="2" t="s">
        <v>657</v>
      </c>
      <c r="H5" s="2" t="s">
        <v>227</v>
      </c>
      <c r="I5" s="2" t="s">
        <v>62</v>
      </c>
      <c r="J5" s="2" t="s">
        <v>158</v>
      </c>
    </row>
    <row r="6" spans="1:10" ht="28.8" x14ac:dyDescent="0.3">
      <c r="A6" s="2">
        <v>14</v>
      </c>
      <c r="B6" s="2" t="s">
        <v>55</v>
      </c>
      <c r="C6" s="2" t="s">
        <v>130</v>
      </c>
      <c r="D6" s="2" t="s">
        <v>218</v>
      </c>
      <c r="E6" s="2" t="s">
        <v>219</v>
      </c>
      <c r="F6" s="2" t="s">
        <v>57</v>
      </c>
      <c r="G6" s="2" t="s">
        <v>216</v>
      </c>
      <c r="H6" s="2" t="s">
        <v>217</v>
      </c>
      <c r="I6" s="2" t="s">
        <v>62</v>
      </c>
      <c r="J6" s="2" t="s">
        <v>158</v>
      </c>
    </row>
    <row r="7" spans="1:10" ht="28.8" x14ac:dyDescent="0.3">
      <c r="A7" s="2">
        <v>14</v>
      </c>
      <c r="B7" s="2" t="s">
        <v>55</v>
      </c>
      <c r="C7" s="2" t="s">
        <v>66</v>
      </c>
      <c r="D7" s="2" t="s">
        <v>57</v>
      </c>
      <c r="E7" s="2" t="s">
        <v>1741</v>
      </c>
      <c r="F7" s="2" t="s">
        <v>57</v>
      </c>
      <c r="G7" s="2" t="s">
        <v>162</v>
      </c>
      <c r="H7" s="2" t="s">
        <v>156</v>
      </c>
      <c r="I7" s="2" t="s">
        <v>1742</v>
      </c>
      <c r="J7" s="2" t="s">
        <v>158</v>
      </c>
    </row>
    <row r="8" spans="1:10" ht="28.8" x14ac:dyDescent="0.3">
      <c r="A8" s="2">
        <v>14</v>
      </c>
      <c r="B8" s="2" t="s">
        <v>55</v>
      </c>
      <c r="C8" s="2" t="s">
        <v>141</v>
      </c>
      <c r="D8" s="2" t="s">
        <v>228</v>
      </c>
      <c r="E8" s="2" t="s">
        <v>229</v>
      </c>
      <c r="F8" s="2" t="s">
        <v>57</v>
      </c>
      <c r="G8" s="2" t="s">
        <v>226</v>
      </c>
      <c r="H8" s="2" t="s">
        <v>227</v>
      </c>
      <c r="I8" s="2" t="s">
        <v>62</v>
      </c>
      <c r="J8" s="2" t="s">
        <v>158</v>
      </c>
    </row>
    <row r="9" spans="1:10" ht="28.8" x14ac:dyDescent="0.3">
      <c r="A9" s="2">
        <v>14</v>
      </c>
      <c r="B9" s="2" t="s">
        <v>55</v>
      </c>
      <c r="C9" s="2" t="s">
        <v>70</v>
      </c>
      <c r="D9" s="2" t="s">
        <v>57</v>
      </c>
      <c r="E9" s="2" t="s">
        <v>1743</v>
      </c>
      <c r="F9" s="2" t="s">
        <v>57</v>
      </c>
      <c r="G9" s="2" t="s">
        <v>165</v>
      </c>
      <c r="H9" s="2" t="s">
        <v>166</v>
      </c>
      <c r="I9" s="2" t="s">
        <v>1742</v>
      </c>
      <c r="J9" s="2" t="s">
        <v>158</v>
      </c>
    </row>
    <row r="10" spans="1:10" ht="28.8" x14ac:dyDescent="0.3">
      <c r="A10" s="2">
        <v>14</v>
      </c>
      <c r="B10" s="2" t="s">
        <v>55</v>
      </c>
      <c r="C10" s="2" t="s">
        <v>126</v>
      </c>
      <c r="D10" s="2" t="s">
        <v>211</v>
      </c>
      <c r="E10" s="2" t="s">
        <v>212</v>
      </c>
      <c r="F10" s="2" t="s">
        <v>57</v>
      </c>
      <c r="G10" s="2" t="s">
        <v>209</v>
      </c>
      <c r="H10" s="2" t="s">
        <v>210</v>
      </c>
      <c r="I10" s="2" t="s">
        <v>62</v>
      </c>
      <c r="J10" s="2" t="s">
        <v>158</v>
      </c>
    </row>
    <row r="11" spans="1:10" ht="28.8" x14ac:dyDescent="0.3">
      <c r="A11" s="2">
        <v>14</v>
      </c>
      <c r="B11" s="2" t="s">
        <v>55</v>
      </c>
      <c r="C11" s="2" t="s">
        <v>56</v>
      </c>
      <c r="D11" s="2" t="s">
        <v>57</v>
      </c>
      <c r="E11" s="2" t="s">
        <v>1744</v>
      </c>
      <c r="F11" s="2" t="s">
        <v>57</v>
      </c>
      <c r="G11" s="2" t="s">
        <v>155</v>
      </c>
      <c r="H11" s="2" t="s">
        <v>156</v>
      </c>
      <c r="I11" s="2" t="s">
        <v>1742</v>
      </c>
      <c r="J11" s="2" t="s">
        <v>158</v>
      </c>
    </row>
    <row r="12" spans="1:10" ht="28.8" x14ac:dyDescent="0.3">
      <c r="A12" s="2">
        <v>15</v>
      </c>
      <c r="B12" s="2" t="s">
        <v>55</v>
      </c>
      <c r="C12" s="2" t="s">
        <v>86</v>
      </c>
      <c r="D12" s="2" t="s">
        <v>81</v>
      </c>
      <c r="E12" s="2" t="s">
        <v>262</v>
      </c>
      <c r="F12" s="2" t="s">
        <v>256</v>
      </c>
      <c r="G12" s="2" t="s">
        <v>261</v>
      </c>
      <c r="H12" s="2" t="s">
        <v>227</v>
      </c>
      <c r="I12" s="2" t="s">
        <v>62</v>
      </c>
      <c r="J12" s="2" t="s">
        <v>158</v>
      </c>
    </row>
    <row r="13" spans="1:10" ht="28.8" x14ac:dyDescent="0.3">
      <c r="A13" s="2">
        <v>15</v>
      </c>
      <c r="B13" s="2" t="s">
        <v>55</v>
      </c>
      <c r="C13" s="2" t="s">
        <v>80</v>
      </c>
      <c r="D13" s="2" t="s">
        <v>174</v>
      </c>
      <c r="E13" s="2" t="s">
        <v>258</v>
      </c>
      <c r="F13" s="2" t="s">
        <v>256</v>
      </c>
      <c r="G13" s="2" t="s">
        <v>257</v>
      </c>
      <c r="H13" s="2" t="s">
        <v>156</v>
      </c>
      <c r="I13" s="2" t="s">
        <v>62</v>
      </c>
      <c r="J13" s="2" t="s">
        <v>158</v>
      </c>
    </row>
    <row r="14" spans="1:10" ht="28.8" x14ac:dyDescent="0.3">
      <c r="A14" s="2">
        <v>17</v>
      </c>
      <c r="B14" s="2" t="s">
        <v>55</v>
      </c>
      <c r="C14" s="2" t="s">
        <v>115</v>
      </c>
      <c r="D14" s="2" t="s">
        <v>121</v>
      </c>
      <c r="E14" s="2" t="s">
        <v>428</v>
      </c>
      <c r="F14" s="2" t="s">
        <v>424</v>
      </c>
      <c r="G14" s="2" t="s">
        <v>427</v>
      </c>
      <c r="H14" s="2" t="s">
        <v>166</v>
      </c>
      <c r="I14" s="2" t="s">
        <v>62</v>
      </c>
      <c r="J14" s="2" t="s">
        <v>158</v>
      </c>
    </row>
    <row r="15" spans="1:10" ht="28.8" x14ac:dyDescent="0.3">
      <c r="A15" s="2">
        <v>17</v>
      </c>
      <c r="B15" s="2" t="s">
        <v>55</v>
      </c>
      <c r="C15" s="2" t="s">
        <v>109</v>
      </c>
      <c r="D15" s="2" t="s">
        <v>424</v>
      </c>
      <c r="E15" s="2" t="s">
        <v>1745</v>
      </c>
      <c r="F15" s="2" t="s">
        <v>424</v>
      </c>
      <c r="G15" s="2" t="s">
        <v>425</v>
      </c>
      <c r="H15" s="2" t="s">
        <v>217</v>
      </c>
      <c r="I15" s="2" t="s">
        <v>1742</v>
      </c>
      <c r="J15" s="2" t="s">
        <v>158</v>
      </c>
    </row>
    <row r="16" spans="1:10" ht="28.8" x14ac:dyDescent="0.3">
      <c r="A16" s="2">
        <v>18</v>
      </c>
      <c r="B16" s="2" t="s">
        <v>533</v>
      </c>
      <c r="C16" s="2" t="s">
        <v>98</v>
      </c>
      <c r="D16" s="2" t="s">
        <v>913</v>
      </c>
      <c r="E16" s="2" t="s">
        <v>914</v>
      </c>
      <c r="F16" s="2" t="s">
        <v>583</v>
      </c>
      <c r="G16" s="2" t="s">
        <v>912</v>
      </c>
      <c r="H16" s="2" t="s">
        <v>227</v>
      </c>
      <c r="I16" s="2" t="s">
        <v>62</v>
      </c>
      <c r="J16" s="2" t="s">
        <v>158</v>
      </c>
    </row>
    <row r="17" spans="1:10" ht="28.8" x14ac:dyDescent="0.3">
      <c r="A17" s="2">
        <v>18</v>
      </c>
      <c r="B17" s="2" t="s">
        <v>533</v>
      </c>
      <c r="C17" s="2" t="s">
        <v>141</v>
      </c>
      <c r="D17" s="2" t="s">
        <v>918</v>
      </c>
      <c r="E17" s="2" t="s">
        <v>742</v>
      </c>
      <c r="F17" s="2" t="s">
        <v>583</v>
      </c>
      <c r="G17" s="2" t="s">
        <v>940</v>
      </c>
      <c r="H17" s="2" t="s">
        <v>227</v>
      </c>
      <c r="I17" s="2" t="s">
        <v>62</v>
      </c>
      <c r="J17" s="2" t="s">
        <v>158</v>
      </c>
    </row>
    <row r="18" spans="1:10" ht="28.8" x14ac:dyDescent="0.3">
      <c r="A18" s="2">
        <v>18</v>
      </c>
      <c r="B18" s="2" t="s">
        <v>533</v>
      </c>
      <c r="C18" s="2" t="s">
        <v>103</v>
      </c>
      <c r="D18" s="2" t="s">
        <v>918</v>
      </c>
      <c r="E18" s="2" t="s">
        <v>919</v>
      </c>
      <c r="F18" s="2" t="s">
        <v>583</v>
      </c>
      <c r="G18" s="2" t="s">
        <v>917</v>
      </c>
      <c r="H18" s="2" t="s">
        <v>217</v>
      </c>
      <c r="I18" s="2" t="s">
        <v>62</v>
      </c>
      <c r="J18" s="2" t="s">
        <v>158</v>
      </c>
    </row>
    <row r="19" spans="1:10" ht="28.8" x14ac:dyDescent="0.3">
      <c r="A19" s="2">
        <v>18</v>
      </c>
      <c r="B19" s="2" t="s">
        <v>55</v>
      </c>
      <c r="C19" s="2" t="s">
        <v>66</v>
      </c>
      <c r="D19" s="2" t="s">
        <v>310</v>
      </c>
      <c r="E19" s="2" t="s">
        <v>465</v>
      </c>
      <c r="F19" s="2" t="s">
        <v>463</v>
      </c>
      <c r="G19" s="2" t="s">
        <v>464</v>
      </c>
      <c r="H19" s="2" t="s">
        <v>210</v>
      </c>
      <c r="I19" s="2" t="s">
        <v>62</v>
      </c>
      <c r="J19" s="2" t="s">
        <v>158</v>
      </c>
    </row>
    <row r="20" spans="1:10" ht="28.8" x14ac:dyDescent="0.3">
      <c r="A20" s="2">
        <v>18</v>
      </c>
      <c r="B20" s="2" t="s">
        <v>55</v>
      </c>
      <c r="C20" s="2" t="s">
        <v>70</v>
      </c>
      <c r="D20" s="2" t="s">
        <v>469</v>
      </c>
      <c r="E20" s="2" t="s">
        <v>470</v>
      </c>
      <c r="F20" s="2" t="s">
        <v>463</v>
      </c>
      <c r="G20" s="2" t="s">
        <v>468</v>
      </c>
      <c r="H20" s="2" t="s">
        <v>166</v>
      </c>
      <c r="I20" s="2" t="s">
        <v>62</v>
      </c>
      <c r="J20" s="2" t="s">
        <v>158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NZR_Margins</vt:lpstr>
      <vt:lpstr>NZSC_2026_Updates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Coulter (NZ)</cp:lastModifiedBy>
  <dcterms:created xsi:type="dcterms:W3CDTF">2026-10-05T10:09:05Z</dcterms:created>
  <dcterms:modified xsi:type="dcterms:W3CDTF">2026-10-05T21:39:59Z</dcterms:modified>
</cp:coreProperties>
</file>